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ed268546/Dropbox/Mac/Documents/codes/SPOCK_chilean/"/>
    </mc:Choice>
  </mc:AlternateContent>
  <xr:revisionPtr revIDLastSave="0" documentId="13_ncr:1_{D7256286-6B95-054C-BAAE-47E3100E0D48}" xr6:coauthVersionLast="47" xr6:coauthVersionMax="47" xr10:uidLastSave="{00000000-0000-0000-0000-000000000000}"/>
  <bookViews>
    <workbookView xWindow="0" yWindow="1020" windowWidth="35840" windowHeight="2084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F/v8lqW13H+46N1+usHNdUtsxZ+lrzx52YEbT/zPhVQ="/>
    </ext>
  </extLst>
</workbook>
</file>

<file path=xl/calcChain.xml><?xml version="1.0" encoding="utf-8"?>
<calcChain xmlns="http://schemas.openxmlformats.org/spreadsheetml/2006/main">
  <c r="J185" i="1" l="1"/>
  <c r="E185" i="1"/>
  <c r="D185" i="1"/>
  <c r="C185" i="1"/>
  <c r="B185" i="1"/>
  <c r="M151" i="1"/>
  <c r="M150" i="1"/>
  <c r="M149" i="1"/>
  <c r="M148" i="1"/>
  <c r="M147" i="1"/>
  <c r="F185" i="1" l="1"/>
  <c r="M152" i="1"/>
</calcChain>
</file>

<file path=xl/sharedStrings.xml><?xml version="1.0" encoding="utf-8"?>
<sst xmlns="http://schemas.openxmlformats.org/spreadsheetml/2006/main" count="291" uniqueCount="34">
  <si>
    <t>Date</t>
  </si>
  <si>
    <t>Io</t>
  </si>
  <si>
    <t>Europa</t>
  </si>
  <si>
    <t>Ganymde</t>
  </si>
  <si>
    <t>Callisto</t>
  </si>
  <si>
    <t>PI</t>
  </si>
  <si>
    <t>Received</t>
  </si>
  <si>
    <t>Remark</t>
  </si>
  <si>
    <t>Observed</t>
  </si>
  <si>
    <t>Shablovinskaya</t>
  </si>
  <si>
    <t> Pignata</t>
  </si>
  <si>
    <t>Arévalo</t>
  </si>
  <si>
    <t>Cáceres</t>
  </si>
  <si>
    <t>Meza</t>
  </si>
  <si>
    <t>nights Pignata</t>
  </si>
  <si>
    <t>nights Caceres</t>
  </si>
  <si>
    <t>nights Arévalo</t>
  </si>
  <si>
    <t>nights Meza</t>
  </si>
  <si>
    <t>nights Shablovinskaya</t>
  </si>
  <si>
    <t xml:space="preserve">Total </t>
  </si>
  <si>
    <t>True</t>
  </si>
  <si>
    <t>Sent</t>
  </si>
  <si>
    <t>False</t>
  </si>
  <si>
    <t>need to reschedule</t>
  </si>
  <si>
    <t>pb plans</t>
  </si>
  <si>
    <t>wind</t>
  </si>
  <si>
    <t>pb plans, wind</t>
  </si>
  <si>
    <t>to check</t>
  </si>
  <si>
    <t xml:space="preserve"> catch up Shablovinskaya</t>
  </si>
  <si>
    <t>False (too late)</t>
  </si>
  <si>
    <t xml:space="preserve">not here yet due to ESO bug </t>
  </si>
  <si>
    <t>weather loss (wind)</t>
  </si>
  <si>
    <t/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</si>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</sst>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212121"/>
      <name val="Calibri"/>
      <family val="2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0000"/>
        <bgColor rgb="FFFF000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FBD2FF"/>
        <bgColor rgb="FFFBD2FF"/>
      </patternFill>
    </fill>
    <fill>
      <patternFill patternType="solid">
        <fgColor theme="5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0" borderId="7" xfId="0" applyFont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0" borderId="21" xfId="0" applyFont="1" applyBorder="1"/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14" fontId="2" fillId="0" borderId="27" xfId="0" applyNumberFormat="1" applyFont="1" applyBorder="1" applyAlignment="1">
      <alignment horizontal="center"/>
    </xf>
    <xf numFmtId="14" fontId="2" fillId="0" borderId="28" xfId="0" applyNumberFormat="1" applyFont="1" applyBorder="1" applyAlignment="1">
      <alignment horizontal="center"/>
    </xf>
    <xf numFmtId="14" fontId="2" fillId="0" borderId="29" xfId="0" applyNumberFormat="1" applyFont="1" applyBorder="1" applyAlignment="1">
      <alignment horizontal="center"/>
    </xf>
    <xf numFmtId="0" fontId="3" fillId="4" borderId="30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3" fillId="5" borderId="31" xfId="0" applyFont="1" applyFill="1" applyBorder="1" applyAlignment="1">
      <alignment horizontal="center"/>
    </xf>
    <xf numFmtId="0" fontId="3" fillId="6" borderId="31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3" fillId="4" borderId="31" xfId="0" applyFont="1" applyFill="1" applyBorder="1" applyAlignment="1">
      <alignment horizontal="center" wrapText="1"/>
    </xf>
    <xf numFmtId="0" fontId="3" fillId="8" borderId="31" xfId="0" applyFont="1" applyFill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4" fillId="0" borderId="33" xfId="0" applyFont="1" applyBorder="1"/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 wrapText="1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39" xfId="0" applyFont="1" applyBorder="1"/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/>
    <xf numFmtId="0" fontId="2" fillId="0" borderId="12" xfId="0" quotePrefix="1" applyFont="1" applyBorder="1" applyAlignment="1">
      <alignment horizontal="center"/>
    </xf>
    <xf numFmtId="0" fontId="2" fillId="9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5"/>
  <sheetViews>
    <sheetView tabSelected="1" topLeftCell="A42" workbookViewId="0">
      <selection activeCell="I193" sqref="I193"/>
    </sheetView>
  </sheetViews>
  <sheetFormatPr baseColWidth="10" defaultColWidth="11.1640625" defaultRowHeight="15" customHeight="1" x14ac:dyDescent="0.2"/>
  <cols>
    <col min="1" max="1" width="15" customWidth="1"/>
    <col min="2" max="5" width="10.5" customWidth="1"/>
    <col min="6" max="6" width="17.5" customWidth="1"/>
    <col min="7" max="7" width="15.6640625" customWidth="1"/>
    <col min="8" max="8" width="12.5" customWidth="1"/>
    <col min="9" max="9" width="15.83203125" customWidth="1"/>
    <col min="10" max="10" width="29.1640625" customWidth="1"/>
    <col min="11" max="11" width="29.33203125" customWidth="1"/>
    <col min="12" max="12" width="22.33203125" customWidth="1"/>
    <col min="13" max="27" width="10.5" customWidth="1"/>
  </cols>
  <sheetData>
    <row r="1" spans="1:10" ht="15.75" customHeight="1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21</v>
      </c>
      <c r="I1" s="2" t="s">
        <v>7</v>
      </c>
      <c r="J1" s="4" t="s">
        <v>8</v>
      </c>
    </row>
    <row r="2" spans="1:10" ht="38" customHeight="1" x14ac:dyDescent="0.2">
      <c r="A2" s="33">
        <v>45383</v>
      </c>
      <c r="B2" s="28">
        <v>0</v>
      </c>
      <c r="C2" s="5">
        <v>0</v>
      </c>
      <c r="D2" s="5">
        <v>0</v>
      </c>
      <c r="E2" s="6">
        <v>0</v>
      </c>
      <c r="F2" s="36" t="s">
        <v>9</v>
      </c>
      <c r="G2" s="46" t="s">
        <v>20</v>
      </c>
      <c r="H2" s="47" t="s">
        <v>22</v>
      </c>
      <c r="I2" s="48" t="s">
        <v>23</v>
      </c>
      <c r="J2" s="49" t="s">
        <v>22</v>
      </c>
    </row>
    <row r="3" spans="1:10" ht="15.75" customHeight="1" x14ac:dyDescent="0.2">
      <c r="A3" s="34">
        <v>45384</v>
      </c>
      <c r="B3" s="29">
        <v>1</v>
      </c>
      <c r="C3" s="7">
        <v>0</v>
      </c>
      <c r="D3" s="7">
        <v>0</v>
      </c>
      <c r="E3" s="8">
        <v>0</v>
      </c>
      <c r="F3" s="37" t="s">
        <v>9</v>
      </c>
      <c r="G3" s="50" t="s">
        <v>20</v>
      </c>
      <c r="H3" s="9" t="s">
        <v>20</v>
      </c>
      <c r="I3" s="10"/>
      <c r="J3" s="51" t="s">
        <v>20</v>
      </c>
    </row>
    <row r="4" spans="1:10" ht="15.75" customHeight="1" x14ac:dyDescent="0.2">
      <c r="A4" s="34">
        <v>45385</v>
      </c>
      <c r="B4" s="29">
        <v>1</v>
      </c>
      <c r="C4" s="7">
        <v>0</v>
      </c>
      <c r="D4" s="7">
        <v>0</v>
      </c>
      <c r="E4" s="8">
        <v>0</v>
      </c>
      <c r="F4" s="37" t="s">
        <v>9</v>
      </c>
      <c r="G4" s="50" t="s">
        <v>20</v>
      </c>
      <c r="H4" s="9" t="s">
        <v>20</v>
      </c>
      <c r="I4" s="10"/>
      <c r="J4" s="51" t="s">
        <v>20</v>
      </c>
    </row>
    <row r="5" spans="1:10" ht="15.75" customHeight="1" x14ac:dyDescent="0.2">
      <c r="A5" s="34">
        <v>45386</v>
      </c>
      <c r="B5" s="30">
        <v>0</v>
      </c>
      <c r="C5" s="7">
        <v>0</v>
      </c>
      <c r="D5" s="7">
        <v>0</v>
      </c>
      <c r="E5" s="8">
        <v>0</v>
      </c>
      <c r="F5" s="38"/>
      <c r="G5" s="50"/>
      <c r="H5" s="9"/>
      <c r="I5" s="10"/>
      <c r="J5" s="52"/>
    </row>
    <row r="6" spans="1:10" ht="15.75" customHeight="1" x14ac:dyDescent="0.2">
      <c r="A6" s="34">
        <v>45387</v>
      </c>
      <c r="B6" s="30">
        <v>0</v>
      </c>
      <c r="C6" s="7">
        <v>0</v>
      </c>
      <c r="D6" s="7">
        <v>0</v>
      </c>
      <c r="E6" s="8">
        <v>0</v>
      </c>
      <c r="F6" s="38"/>
      <c r="G6" s="50"/>
      <c r="H6" s="9"/>
      <c r="I6" s="10"/>
      <c r="J6" s="52"/>
    </row>
    <row r="7" spans="1:10" ht="15.75" customHeight="1" x14ac:dyDescent="0.2">
      <c r="A7" s="34">
        <v>45388</v>
      </c>
      <c r="B7" s="30">
        <v>0</v>
      </c>
      <c r="C7" s="7">
        <v>0</v>
      </c>
      <c r="D7" s="7">
        <v>0</v>
      </c>
      <c r="E7" s="8">
        <v>0</v>
      </c>
      <c r="F7" s="38"/>
      <c r="G7" s="50"/>
      <c r="H7" s="9"/>
      <c r="I7" s="10"/>
      <c r="J7" s="52"/>
    </row>
    <row r="8" spans="1:10" ht="15.75" customHeight="1" x14ac:dyDescent="0.2">
      <c r="A8" s="34">
        <v>45389</v>
      </c>
      <c r="B8" s="30">
        <v>0</v>
      </c>
      <c r="C8" s="7">
        <v>0</v>
      </c>
      <c r="D8" s="7">
        <v>0</v>
      </c>
      <c r="E8" s="8">
        <v>0</v>
      </c>
      <c r="F8" s="38"/>
      <c r="G8" s="50"/>
      <c r="H8" s="9"/>
      <c r="I8" s="10"/>
      <c r="J8" s="52"/>
    </row>
    <row r="9" spans="1:10" ht="15.75" customHeight="1" x14ac:dyDescent="0.2">
      <c r="A9" s="34">
        <v>45390</v>
      </c>
      <c r="B9" s="30">
        <v>0</v>
      </c>
      <c r="C9" s="7">
        <v>0</v>
      </c>
      <c r="D9" s="7">
        <v>0</v>
      </c>
      <c r="E9" s="8">
        <v>0</v>
      </c>
      <c r="F9" s="38"/>
      <c r="G9" s="50"/>
      <c r="H9" s="9"/>
      <c r="I9" s="10"/>
      <c r="J9" s="52"/>
    </row>
    <row r="10" spans="1:10" ht="15.75" customHeight="1" x14ac:dyDescent="0.2">
      <c r="A10" s="34">
        <v>45391</v>
      </c>
      <c r="B10" s="30">
        <v>0</v>
      </c>
      <c r="C10" s="11">
        <v>1</v>
      </c>
      <c r="D10" s="7">
        <v>0</v>
      </c>
      <c r="E10" s="8">
        <v>0</v>
      </c>
      <c r="F10" s="39" t="s">
        <v>10</v>
      </c>
      <c r="G10" s="50" t="s">
        <v>20</v>
      </c>
      <c r="H10" s="9" t="s">
        <v>20</v>
      </c>
      <c r="I10" s="10"/>
      <c r="J10" s="51" t="s">
        <v>20</v>
      </c>
    </row>
    <row r="11" spans="1:10" ht="15.75" customHeight="1" x14ac:dyDescent="0.2">
      <c r="A11" s="34">
        <v>45392</v>
      </c>
      <c r="B11" s="30">
        <v>0</v>
      </c>
      <c r="C11" s="11">
        <v>1</v>
      </c>
      <c r="D11" s="7">
        <v>0</v>
      </c>
      <c r="E11" s="8">
        <v>0</v>
      </c>
      <c r="F11" s="40" t="s">
        <v>11</v>
      </c>
      <c r="G11" s="50" t="s">
        <v>20</v>
      </c>
      <c r="H11" s="9" t="s">
        <v>20</v>
      </c>
      <c r="I11" s="10"/>
      <c r="J11" s="51" t="s">
        <v>20</v>
      </c>
    </row>
    <row r="12" spans="1:10" ht="15.75" customHeight="1" x14ac:dyDescent="0.2">
      <c r="A12" s="34">
        <v>45393</v>
      </c>
      <c r="B12" s="30">
        <v>0</v>
      </c>
      <c r="C12" s="11">
        <v>1</v>
      </c>
      <c r="D12" s="7">
        <v>0</v>
      </c>
      <c r="E12" s="8">
        <v>0</v>
      </c>
      <c r="F12" s="40" t="s">
        <v>11</v>
      </c>
      <c r="G12" s="50" t="s">
        <v>20</v>
      </c>
      <c r="H12" s="9" t="s">
        <v>20</v>
      </c>
      <c r="I12" s="10"/>
      <c r="J12" s="51" t="s">
        <v>20</v>
      </c>
    </row>
    <row r="13" spans="1:10" ht="15.75" customHeight="1" x14ac:dyDescent="0.2">
      <c r="A13" s="34">
        <v>45394</v>
      </c>
      <c r="B13" s="30">
        <v>0</v>
      </c>
      <c r="C13" s="7">
        <v>0</v>
      </c>
      <c r="D13" s="7">
        <v>0</v>
      </c>
      <c r="E13" s="8">
        <v>0</v>
      </c>
      <c r="F13" s="38"/>
      <c r="G13" s="50"/>
      <c r="H13" s="9"/>
      <c r="I13" s="10"/>
      <c r="J13" s="51"/>
    </row>
    <row r="14" spans="1:10" ht="15.75" customHeight="1" x14ac:dyDescent="0.2">
      <c r="A14" s="34">
        <v>45395</v>
      </c>
      <c r="B14" s="30">
        <v>0</v>
      </c>
      <c r="C14" s="7">
        <v>0</v>
      </c>
      <c r="D14" s="7">
        <v>0</v>
      </c>
      <c r="E14" s="8">
        <v>0</v>
      </c>
      <c r="F14" s="38"/>
      <c r="G14" s="50"/>
      <c r="H14" s="9"/>
      <c r="I14" s="10"/>
      <c r="J14" s="51"/>
    </row>
    <row r="15" spans="1:10" ht="15.75" customHeight="1" x14ac:dyDescent="0.2">
      <c r="A15" s="34">
        <v>45396</v>
      </c>
      <c r="B15" s="30">
        <v>0</v>
      </c>
      <c r="C15" s="7">
        <v>0</v>
      </c>
      <c r="D15" s="7">
        <v>0</v>
      </c>
      <c r="E15" s="8">
        <v>0</v>
      </c>
      <c r="F15" s="38"/>
      <c r="G15" s="50"/>
      <c r="H15" s="9"/>
      <c r="I15" s="10"/>
      <c r="J15" s="52"/>
    </row>
    <row r="16" spans="1:10" ht="15.75" customHeight="1" x14ac:dyDescent="0.2">
      <c r="A16" s="34">
        <v>45397</v>
      </c>
      <c r="B16" s="30">
        <v>0</v>
      </c>
      <c r="C16" s="7">
        <v>0</v>
      </c>
      <c r="D16" s="7">
        <v>0</v>
      </c>
      <c r="E16" s="8">
        <v>0</v>
      </c>
      <c r="F16" s="38"/>
      <c r="G16" s="50"/>
      <c r="H16" s="9"/>
      <c r="I16" s="10"/>
      <c r="J16" s="52"/>
    </row>
    <row r="17" spans="1:10" ht="15.75" customHeight="1" x14ac:dyDescent="0.2">
      <c r="A17" s="34">
        <v>45398</v>
      </c>
      <c r="B17" s="30">
        <v>0</v>
      </c>
      <c r="C17" s="7">
        <v>0</v>
      </c>
      <c r="D17" s="7">
        <v>0</v>
      </c>
      <c r="E17" s="8">
        <v>0</v>
      </c>
      <c r="F17" s="38"/>
      <c r="G17" s="50"/>
      <c r="H17" s="9"/>
      <c r="I17" s="10"/>
      <c r="J17" s="52"/>
    </row>
    <row r="18" spans="1:10" ht="15.75" customHeight="1" x14ac:dyDescent="0.2">
      <c r="A18" s="34">
        <v>45399</v>
      </c>
      <c r="B18" s="30">
        <v>0</v>
      </c>
      <c r="C18" s="7">
        <v>0</v>
      </c>
      <c r="D18" s="11">
        <v>1</v>
      </c>
      <c r="E18" s="8">
        <v>0</v>
      </c>
      <c r="F18" s="41" t="s">
        <v>12</v>
      </c>
      <c r="G18" s="50" t="s">
        <v>20</v>
      </c>
      <c r="H18" s="9" t="s">
        <v>20</v>
      </c>
      <c r="I18" s="10"/>
      <c r="J18" s="51" t="s">
        <v>20</v>
      </c>
    </row>
    <row r="19" spans="1:10" ht="15.75" customHeight="1" x14ac:dyDescent="0.2">
      <c r="A19" s="34">
        <v>45400</v>
      </c>
      <c r="B19" s="30">
        <v>0</v>
      </c>
      <c r="C19" s="7">
        <v>0</v>
      </c>
      <c r="D19" s="11">
        <v>1</v>
      </c>
      <c r="E19" s="8">
        <v>0</v>
      </c>
      <c r="F19" s="41" t="s">
        <v>12</v>
      </c>
      <c r="G19" s="50" t="s">
        <v>20</v>
      </c>
      <c r="H19" s="9" t="s">
        <v>20</v>
      </c>
      <c r="I19" s="10"/>
      <c r="J19" s="51" t="s">
        <v>20</v>
      </c>
    </row>
    <row r="20" spans="1:10" ht="15.75" customHeight="1" x14ac:dyDescent="0.2">
      <c r="A20" s="34">
        <v>45401</v>
      </c>
      <c r="B20" s="30">
        <v>0</v>
      </c>
      <c r="C20" s="7">
        <v>0</v>
      </c>
      <c r="D20" s="11">
        <v>1</v>
      </c>
      <c r="E20" s="8">
        <v>0</v>
      </c>
      <c r="F20" s="39" t="s">
        <v>10</v>
      </c>
      <c r="G20" s="50" t="s">
        <v>20</v>
      </c>
      <c r="H20" s="9" t="s">
        <v>20</v>
      </c>
      <c r="I20" s="10"/>
      <c r="J20" s="51" t="s">
        <v>24</v>
      </c>
    </row>
    <row r="21" spans="1:10" ht="15.75" customHeight="1" x14ac:dyDescent="0.2">
      <c r="A21" s="34">
        <v>45402</v>
      </c>
      <c r="B21" s="30">
        <v>0</v>
      </c>
      <c r="C21" s="7">
        <v>0</v>
      </c>
      <c r="D21" s="7">
        <v>0</v>
      </c>
      <c r="E21" s="8">
        <v>0</v>
      </c>
      <c r="F21" s="38"/>
      <c r="G21" s="50"/>
      <c r="H21" s="9"/>
      <c r="I21" s="10"/>
      <c r="J21" s="51"/>
    </row>
    <row r="22" spans="1:10" ht="15.75" customHeight="1" x14ac:dyDescent="0.2">
      <c r="A22" s="34">
        <v>45403</v>
      </c>
      <c r="B22" s="30">
        <v>0</v>
      </c>
      <c r="C22" s="7">
        <v>0</v>
      </c>
      <c r="D22" s="7">
        <v>0</v>
      </c>
      <c r="E22" s="8">
        <v>0</v>
      </c>
      <c r="F22" s="38"/>
      <c r="G22" s="50"/>
      <c r="H22" s="9"/>
      <c r="I22" s="10"/>
      <c r="J22" s="51"/>
    </row>
    <row r="23" spans="1:10" ht="15.75" customHeight="1" x14ac:dyDescent="0.2">
      <c r="A23" s="34">
        <v>45404</v>
      </c>
      <c r="B23" s="30">
        <v>0</v>
      </c>
      <c r="C23" s="7">
        <v>0</v>
      </c>
      <c r="D23" s="7">
        <v>0</v>
      </c>
      <c r="E23" s="8">
        <v>0</v>
      </c>
      <c r="F23" s="38"/>
      <c r="G23" s="50"/>
      <c r="H23" s="9"/>
      <c r="I23" s="10"/>
      <c r="J23" s="52"/>
    </row>
    <row r="24" spans="1:10" ht="15.75" customHeight="1" x14ac:dyDescent="0.2">
      <c r="A24" s="34">
        <v>45405</v>
      </c>
      <c r="B24" s="30">
        <v>0</v>
      </c>
      <c r="C24" s="7">
        <v>0</v>
      </c>
      <c r="D24" s="7">
        <v>0</v>
      </c>
      <c r="E24" s="8">
        <v>0</v>
      </c>
      <c r="F24" s="38"/>
      <c r="G24" s="50"/>
      <c r="H24" s="9"/>
      <c r="I24" s="10"/>
      <c r="J24" s="52"/>
    </row>
    <row r="25" spans="1:10" ht="15.75" customHeight="1" x14ac:dyDescent="0.2">
      <c r="A25" s="34">
        <v>45406</v>
      </c>
      <c r="B25" s="30">
        <v>0</v>
      </c>
      <c r="C25" s="7">
        <v>0</v>
      </c>
      <c r="D25" s="7">
        <v>0</v>
      </c>
      <c r="E25" s="8">
        <v>0</v>
      </c>
      <c r="F25" s="38"/>
      <c r="G25" s="50"/>
      <c r="H25" s="9"/>
      <c r="I25" s="10"/>
      <c r="J25" s="52"/>
    </row>
    <row r="26" spans="1:10" ht="15.75" customHeight="1" x14ac:dyDescent="0.2">
      <c r="A26" s="34">
        <v>45407</v>
      </c>
      <c r="B26" s="30">
        <v>0</v>
      </c>
      <c r="C26" s="7">
        <v>0</v>
      </c>
      <c r="D26" s="7">
        <v>0</v>
      </c>
      <c r="E26" s="12">
        <v>1</v>
      </c>
      <c r="F26" s="41" t="s">
        <v>12</v>
      </c>
      <c r="G26" s="50" t="s">
        <v>20</v>
      </c>
      <c r="H26" s="9" t="s">
        <v>20</v>
      </c>
      <c r="I26" s="10"/>
      <c r="J26" s="51" t="s">
        <v>20</v>
      </c>
    </row>
    <row r="27" spans="1:10" ht="15.75" customHeight="1" x14ac:dyDescent="0.2">
      <c r="A27" s="34">
        <v>45408</v>
      </c>
      <c r="B27" s="30">
        <v>0</v>
      </c>
      <c r="C27" s="7">
        <v>0</v>
      </c>
      <c r="D27" s="7">
        <v>0</v>
      </c>
      <c r="E27" s="12">
        <v>1</v>
      </c>
      <c r="F27" s="41" t="s">
        <v>12</v>
      </c>
      <c r="G27" s="50" t="s">
        <v>20</v>
      </c>
      <c r="H27" s="9" t="s">
        <v>20</v>
      </c>
      <c r="I27" s="10"/>
      <c r="J27" s="51" t="s">
        <v>20</v>
      </c>
    </row>
    <row r="28" spans="1:10" ht="15.75" customHeight="1" x14ac:dyDescent="0.2">
      <c r="A28" s="34">
        <v>45409</v>
      </c>
      <c r="B28" s="30">
        <v>0</v>
      </c>
      <c r="C28" s="7">
        <v>0</v>
      </c>
      <c r="D28" s="7">
        <v>0</v>
      </c>
      <c r="E28" s="12">
        <v>1</v>
      </c>
      <c r="F28" s="39" t="s">
        <v>10</v>
      </c>
      <c r="G28" s="50" t="s">
        <v>20</v>
      </c>
      <c r="H28" s="9" t="s">
        <v>20</v>
      </c>
      <c r="I28" s="10"/>
      <c r="J28" s="51" t="s">
        <v>20</v>
      </c>
    </row>
    <row r="29" spans="1:10" ht="37" customHeight="1" x14ac:dyDescent="0.2">
      <c r="A29" s="34">
        <v>45410</v>
      </c>
      <c r="B29" s="11">
        <v>1</v>
      </c>
      <c r="C29" s="7">
        <v>0</v>
      </c>
      <c r="D29" s="7">
        <v>0</v>
      </c>
      <c r="E29" s="8">
        <v>0</v>
      </c>
      <c r="F29" s="42" t="s">
        <v>28</v>
      </c>
      <c r="G29" s="50" t="s">
        <v>20</v>
      </c>
      <c r="H29" s="9" t="s">
        <v>20</v>
      </c>
      <c r="I29" s="10"/>
      <c r="J29" s="51" t="s">
        <v>27</v>
      </c>
    </row>
    <row r="30" spans="1:10" ht="15.75" customHeight="1" x14ac:dyDescent="0.2">
      <c r="A30" s="34">
        <v>45411</v>
      </c>
      <c r="B30" s="30">
        <v>0</v>
      </c>
      <c r="C30" s="7">
        <v>0</v>
      </c>
      <c r="D30" s="7">
        <v>0</v>
      </c>
      <c r="E30" s="8">
        <v>0</v>
      </c>
      <c r="F30" s="38"/>
      <c r="G30" s="50"/>
      <c r="H30" s="9"/>
      <c r="I30" s="10"/>
      <c r="J30" s="51"/>
    </row>
    <row r="31" spans="1:10" ht="15.75" customHeight="1" x14ac:dyDescent="0.2">
      <c r="A31" s="34">
        <v>45412</v>
      </c>
      <c r="B31" s="30">
        <v>0</v>
      </c>
      <c r="C31" s="7">
        <v>0</v>
      </c>
      <c r="D31" s="7">
        <v>0</v>
      </c>
      <c r="E31" s="8">
        <v>0</v>
      </c>
      <c r="F31" s="38"/>
      <c r="G31" s="50"/>
      <c r="H31" s="9"/>
      <c r="I31" s="10"/>
      <c r="J31" s="51"/>
    </row>
    <row r="32" spans="1:10" ht="15.75" customHeight="1" x14ac:dyDescent="0.2">
      <c r="A32" s="34">
        <v>45413</v>
      </c>
      <c r="B32" s="30">
        <v>0</v>
      </c>
      <c r="C32" s="7">
        <v>0</v>
      </c>
      <c r="D32" s="7">
        <v>0</v>
      </c>
      <c r="E32" s="8">
        <v>0</v>
      </c>
      <c r="F32" s="38"/>
      <c r="G32" s="50"/>
      <c r="H32" s="9"/>
      <c r="I32" s="10"/>
      <c r="J32" s="52"/>
    </row>
    <row r="33" spans="1:10" ht="15.75" customHeight="1" x14ac:dyDescent="0.2">
      <c r="A33" s="34">
        <v>45414</v>
      </c>
      <c r="B33" s="30">
        <v>0</v>
      </c>
      <c r="C33" s="7">
        <v>0</v>
      </c>
      <c r="D33" s="7">
        <v>0</v>
      </c>
      <c r="E33" s="8">
        <v>0</v>
      </c>
      <c r="F33" s="38"/>
      <c r="G33" s="50"/>
      <c r="H33" s="25"/>
      <c r="I33" s="10"/>
      <c r="J33" s="52"/>
    </row>
    <row r="34" spans="1:10" ht="15.75" customHeight="1" x14ac:dyDescent="0.2">
      <c r="A34" s="34">
        <v>45415</v>
      </c>
      <c r="B34" s="29">
        <v>1</v>
      </c>
      <c r="C34" s="7">
        <v>0</v>
      </c>
      <c r="D34" s="7">
        <v>0</v>
      </c>
      <c r="E34" s="8">
        <v>0</v>
      </c>
      <c r="F34" s="41" t="s">
        <v>12</v>
      </c>
      <c r="G34" s="53" t="s">
        <v>20</v>
      </c>
      <c r="H34" s="27" t="s">
        <v>22</v>
      </c>
      <c r="I34" s="9"/>
      <c r="J34" s="51" t="s">
        <v>26</v>
      </c>
    </row>
    <row r="35" spans="1:10" ht="15.75" customHeight="1" x14ac:dyDescent="0.2">
      <c r="A35" s="34">
        <v>45416</v>
      </c>
      <c r="B35" s="29">
        <v>1</v>
      </c>
      <c r="C35" s="7">
        <v>0</v>
      </c>
      <c r="D35" s="7">
        <v>0</v>
      </c>
      <c r="E35" s="8">
        <v>0</v>
      </c>
      <c r="F35" s="41" t="s">
        <v>12</v>
      </c>
      <c r="G35" s="50" t="s">
        <v>20</v>
      </c>
      <c r="H35" s="26" t="s">
        <v>20</v>
      </c>
      <c r="I35" s="10"/>
      <c r="J35" s="51" t="s">
        <v>25</v>
      </c>
    </row>
    <row r="36" spans="1:10" ht="15.75" customHeight="1" x14ac:dyDescent="0.2">
      <c r="A36" s="34">
        <v>45417</v>
      </c>
      <c r="B36" s="29">
        <v>1</v>
      </c>
      <c r="C36" s="7">
        <v>0</v>
      </c>
      <c r="D36" s="7">
        <v>0</v>
      </c>
      <c r="E36" s="8">
        <v>0</v>
      </c>
      <c r="F36" s="39" t="s">
        <v>10</v>
      </c>
      <c r="G36" s="50" t="s">
        <v>20</v>
      </c>
      <c r="H36" s="9" t="s">
        <v>20</v>
      </c>
      <c r="I36" s="10"/>
      <c r="J36" s="51" t="s">
        <v>25</v>
      </c>
    </row>
    <row r="37" spans="1:10" ht="15.75" customHeight="1" x14ac:dyDescent="0.2">
      <c r="A37" s="34">
        <v>45418</v>
      </c>
      <c r="B37" s="30">
        <v>0</v>
      </c>
      <c r="C37" s="7">
        <v>0</v>
      </c>
      <c r="D37" s="7">
        <v>0</v>
      </c>
      <c r="E37" s="8">
        <v>0</v>
      </c>
      <c r="F37" s="38"/>
      <c r="G37" s="50"/>
      <c r="H37" s="9"/>
      <c r="I37" s="10"/>
      <c r="J37" s="51"/>
    </row>
    <row r="38" spans="1:10" ht="15.75" customHeight="1" x14ac:dyDescent="0.2">
      <c r="A38" s="34">
        <v>45419</v>
      </c>
      <c r="B38" s="30">
        <v>0</v>
      </c>
      <c r="C38" s="7">
        <v>0</v>
      </c>
      <c r="D38" s="7">
        <v>0</v>
      </c>
      <c r="E38" s="8">
        <v>0</v>
      </c>
      <c r="F38" s="38"/>
      <c r="G38" s="50"/>
      <c r="H38" s="9"/>
      <c r="I38" s="10"/>
      <c r="J38" s="51"/>
    </row>
    <row r="39" spans="1:10" ht="15.75" customHeight="1" x14ac:dyDescent="0.2">
      <c r="A39" s="34">
        <v>45420</v>
      </c>
      <c r="B39" s="30">
        <v>0</v>
      </c>
      <c r="C39" s="7">
        <v>0</v>
      </c>
      <c r="D39" s="7">
        <v>0</v>
      </c>
      <c r="E39" s="8">
        <v>0</v>
      </c>
      <c r="F39" s="38"/>
      <c r="G39" s="50"/>
      <c r="H39" s="9"/>
      <c r="I39" s="10"/>
      <c r="J39" s="51"/>
    </row>
    <row r="40" spans="1:10" ht="15.75" customHeight="1" x14ac:dyDescent="0.2">
      <c r="A40" s="34">
        <v>45421</v>
      </c>
      <c r="B40" s="30">
        <v>0</v>
      </c>
      <c r="C40" s="7">
        <v>0</v>
      </c>
      <c r="D40" s="7">
        <v>0</v>
      </c>
      <c r="E40" s="8">
        <v>0</v>
      </c>
      <c r="F40" s="38"/>
      <c r="G40" s="50"/>
      <c r="H40" s="9"/>
      <c r="I40" s="10"/>
      <c r="J40" s="51"/>
    </row>
    <row r="41" spans="1:10" ht="15.75" customHeight="1" x14ac:dyDescent="0.2">
      <c r="A41" s="34">
        <v>45422</v>
      </c>
      <c r="B41" s="30">
        <v>0</v>
      </c>
      <c r="C41" s="7">
        <v>0</v>
      </c>
      <c r="D41" s="7">
        <v>0</v>
      </c>
      <c r="E41" s="8">
        <v>0</v>
      </c>
      <c r="F41" s="38"/>
      <c r="G41" s="50"/>
      <c r="H41" s="9"/>
      <c r="I41" s="10"/>
      <c r="J41" s="52"/>
    </row>
    <row r="42" spans="1:10" ht="15.75" customHeight="1" x14ac:dyDescent="0.2">
      <c r="A42" s="34">
        <v>45423</v>
      </c>
      <c r="B42" s="30">
        <v>0</v>
      </c>
      <c r="C42" s="11">
        <v>1</v>
      </c>
      <c r="D42" s="7">
        <v>0</v>
      </c>
      <c r="E42" s="8">
        <v>0</v>
      </c>
      <c r="F42" s="40" t="s">
        <v>11</v>
      </c>
      <c r="G42" s="50" t="s">
        <v>20</v>
      </c>
      <c r="H42" s="9" t="s">
        <v>20</v>
      </c>
      <c r="I42" s="10"/>
      <c r="J42" s="51" t="s">
        <v>20</v>
      </c>
    </row>
    <row r="43" spans="1:10" ht="15.75" customHeight="1" x14ac:dyDescent="0.2">
      <c r="A43" s="34">
        <v>45424</v>
      </c>
      <c r="B43" s="30">
        <v>0</v>
      </c>
      <c r="C43" s="11">
        <v>1</v>
      </c>
      <c r="D43" s="7">
        <v>0</v>
      </c>
      <c r="E43" s="8">
        <v>0</v>
      </c>
      <c r="F43" s="40" t="s">
        <v>11</v>
      </c>
      <c r="G43" s="50" t="s">
        <v>20</v>
      </c>
      <c r="H43" s="9" t="s">
        <v>20</v>
      </c>
      <c r="I43" s="10"/>
      <c r="J43" s="51" t="s">
        <v>20</v>
      </c>
    </row>
    <row r="44" spans="1:10" ht="15.75" customHeight="1" x14ac:dyDescent="0.2">
      <c r="A44" s="34">
        <v>45425</v>
      </c>
      <c r="B44" s="30">
        <v>0</v>
      </c>
      <c r="C44" s="11">
        <v>1</v>
      </c>
      <c r="D44" s="7">
        <v>0</v>
      </c>
      <c r="E44" s="8">
        <v>0</v>
      </c>
      <c r="F44" s="39" t="s">
        <v>10</v>
      </c>
      <c r="G44" s="50" t="s">
        <v>20</v>
      </c>
      <c r="H44" s="9" t="s">
        <v>20</v>
      </c>
      <c r="I44" s="10"/>
      <c r="J44" s="51" t="s">
        <v>20</v>
      </c>
    </row>
    <row r="45" spans="1:10" ht="15.75" customHeight="1" x14ac:dyDescent="0.2">
      <c r="A45" s="34">
        <v>45426</v>
      </c>
      <c r="B45" s="30">
        <v>0</v>
      </c>
      <c r="C45" s="7">
        <v>0</v>
      </c>
      <c r="D45" s="7">
        <v>0</v>
      </c>
      <c r="E45" s="8">
        <v>0</v>
      </c>
      <c r="F45" s="38"/>
      <c r="G45" s="50"/>
      <c r="H45" s="9"/>
      <c r="I45" s="10"/>
      <c r="J45" s="52"/>
    </row>
    <row r="46" spans="1:10" ht="15.75" customHeight="1" x14ac:dyDescent="0.2">
      <c r="A46" s="34">
        <v>45427</v>
      </c>
      <c r="B46" s="30">
        <v>0</v>
      </c>
      <c r="C46" s="7">
        <v>0</v>
      </c>
      <c r="D46" s="7">
        <v>0</v>
      </c>
      <c r="E46" s="8">
        <v>0</v>
      </c>
      <c r="F46" s="38"/>
      <c r="G46" s="50"/>
      <c r="H46" s="9"/>
      <c r="I46" s="10"/>
      <c r="J46" s="52"/>
    </row>
    <row r="47" spans="1:10" ht="15.75" customHeight="1" x14ac:dyDescent="0.2">
      <c r="A47" s="34">
        <v>45428</v>
      </c>
      <c r="B47" s="30">
        <v>0</v>
      </c>
      <c r="C47" s="7">
        <v>0</v>
      </c>
      <c r="D47" s="7">
        <v>0</v>
      </c>
      <c r="E47" s="8">
        <v>0</v>
      </c>
      <c r="F47" s="38"/>
      <c r="G47" s="50"/>
      <c r="H47" s="9"/>
      <c r="I47" s="10"/>
      <c r="J47" s="51"/>
    </row>
    <row r="48" spans="1:10" ht="15.75" customHeight="1" x14ac:dyDescent="0.2">
      <c r="A48" s="34">
        <v>45429</v>
      </c>
      <c r="B48" s="30">
        <v>0</v>
      </c>
      <c r="C48" s="7">
        <v>0</v>
      </c>
      <c r="D48" s="7">
        <v>0</v>
      </c>
      <c r="E48" s="8">
        <v>0</v>
      </c>
      <c r="F48" s="38"/>
      <c r="G48" s="50"/>
      <c r="H48" s="9"/>
      <c r="I48" s="10"/>
      <c r="J48" s="51"/>
    </row>
    <row r="49" spans="1:10" ht="15.75" customHeight="1" x14ac:dyDescent="0.2">
      <c r="A49" s="34">
        <v>45430</v>
      </c>
      <c r="B49" s="30">
        <v>0</v>
      </c>
      <c r="C49" s="7">
        <v>0</v>
      </c>
      <c r="D49" s="7">
        <v>0</v>
      </c>
      <c r="E49" s="8">
        <v>0</v>
      </c>
      <c r="F49" s="38"/>
      <c r="G49" s="50"/>
      <c r="H49" s="9"/>
      <c r="I49" s="10"/>
      <c r="J49" s="51"/>
    </row>
    <row r="50" spans="1:10" ht="15.75" customHeight="1" x14ac:dyDescent="0.2">
      <c r="A50" s="34">
        <v>45431</v>
      </c>
      <c r="B50" s="30">
        <v>0</v>
      </c>
      <c r="C50" s="7">
        <v>0</v>
      </c>
      <c r="D50" s="11">
        <v>1</v>
      </c>
      <c r="E50" s="8">
        <v>0</v>
      </c>
      <c r="F50" s="40" t="s">
        <v>11</v>
      </c>
      <c r="G50" s="50" t="s">
        <v>20</v>
      </c>
      <c r="H50" s="9" t="s">
        <v>20</v>
      </c>
      <c r="I50" s="10"/>
      <c r="J50" s="52" t="s">
        <v>30</v>
      </c>
    </row>
    <row r="51" spans="1:10" ht="15.75" customHeight="1" x14ac:dyDescent="0.2">
      <c r="A51" s="34">
        <v>45432</v>
      </c>
      <c r="B51" s="30">
        <v>0</v>
      </c>
      <c r="C51" s="7">
        <v>0</v>
      </c>
      <c r="D51" s="11">
        <v>1</v>
      </c>
      <c r="E51" s="8">
        <v>0</v>
      </c>
      <c r="F51" s="40" t="s">
        <v>11</v>
      </c>
      <c r="G51" s="50" t="s">
        <v>20</v>
      </c>
      <c r="H51" s="9" t="s">
        <v>20</v>
      </c>
      <c r="I51" s="10"/>
      <c r="J51" s="52" t="s">
        <v>30</v>
      </c>
    </row>
    <row r="52" spans="1:10" ht="15.75" customHeight="1" x14ac:dyDescent="0.2">
      <c r="A52" s="34">
        <v>45433</v>
      </c>
      <c r="B52" s="30">
        <v>0</v>
      </c>
      <c r="C52" s="7">
        <v>0</v>
      </c>
      <c r="D52" s="11">
        <v>1</v>
      </c>
      <c r="E52" s="8">
        <v>0</v>
      </c>
      <c r="F52" s="39" t="s">
        <v>10</v>
      </c>
      <c r="G52" s="54" t="s">
        <v>29</v>
      </c>
      <c r="H52" s="27" t="s">
        <v>22</v>
      </c>
      <c r="I52" s="10"/>
      <c r="J52" s="55" t="s">
        <v>22</v>
      </c>
    </row>
    <row r="53" spans="1:10" ht="15.75" customHeight="1" x14ac:dyDescent="0.2">
      <c r="A53" s="34">
        <v>45434</v>
      </c>
      <c r="B53" s="30">
        <v>0</v>
      </c>
      <c r="C53" s="7">
        <v>0</v>
      </c>
      <c r="D53" s="7">
        <v>0</v>
      </c>
      <c r="E53" s="8">
        <v>0</v>
      </c>
      <c r="F53" s="38"/>
      <c r="G53" s="50"/>
      <c r="H53" s="9"/>
      <c r="I53" s="10"/>
      <c r="J53" s="52"/>
    </row>
    <row r="54" spans="1:10" ht="15.75" customHeight="1" x14ac:dyDescent="0.2">
      <c r="A54" s="34">
        <v>45435</v>
      </c>
      <c r="B54" s="30">
        <v>0</v>
      </c>
      <c r="C54" s="7">
        <v>0</v>
      </c>
      <c r="D54" s="7">
        <v>0</v>
      </c>
      <c r="E54" s="8">
        <v>0</v>
      </c>
      <c r="F54" s="38"/>
      <c r="G54" s="50"/>
      <c r="H54" s="9"/>
      <c r="I54" s="10"/>
      <c r="J54" s="52"/>
    </row>
    <row r="55" spans="1:10" ht="15.75" customHeight="1" x14ac:dyDescent="0.2">
      <c r="A55" s="34">
        <v>45436</v>
      </c>
      <c r="B55" s="30">
        <v>0</v>
      </c>
      <c r="C55" s="7">
        <v>0</v>
      </c>
      <c r="D55" s="7">
        <v>0</v>
      </c>
      <c r="E55" s="8">
        <v>0</v>
      </c>
      <c r="F55" s="38"/>
      <c r="G55" s="50"/>
      <c r="H55" s="9"/>
      <c r="I55" s="10"/>
      <c r="J55" s="52"/>
    </row>
    <row r="56" spans="1:10" ht="15.75" customHeight="1" x14ac:dyDescent="0.2">
      <c r="A56" s="34">
        <v>45437</v>
      </c>
      <c r="B56" s="30">
        <v>0</v>
      </c>
      <c r="C56" s="7">
        <v>0</v>
      </c>
      <c r="D56" s="7">
        <v>0</v>
      </c>
      <c r="E56" s="8">
        <v>0</v>
      </c>
      <c r="F56" s="38"/>
      <c r="G56" s="50"/>
      <c r="H56" s="9"/>
      <c r="I56" s="10"/>
      <c r="J56" s="51"/>
    </row>
    <row r="57" spans="1:10" ht="15.75" customHeight="1" x14ac:dyDescent="0.2">
      <c r="A57" s="34">
        <v>45438</v>
      </c>
      <c r="B57" s="30">
        <v>0</v>
      </c>
      <c r="C57" s="7">
        <v>0</v>
      </c>
      <c r="D57" s="7">
        <v>0</v>
      </c>
      <c r="E57" s="8">
        <v>0</v>
      </c>
      <c r="F57" s="38"/>
      <c r="G57" s="50"/>
      <c r="H57" s="9"/>
      <c r="I57" s="10"/>
      <c r="J57" s="51"/>
    </row>
    <row r="58" spans="1:10" ht="15.75" customHeight="1" x14ac:dyDescent="0.2">
      <c r="A58" s="34">
        <v>45439</v>
      </c>
      <c r="B58" s="30">
        <v>0</v>
      </c>
      <c r="C58" s="7">
        <v>0</v>
      </c>
      <c r="D58" s="7">
        <v>0</v>
      </c>
      <c r="E58" s="12">
        <v>1</v>
      </c>
      <c r="F58" s="41" t="s">
        <v>12</v>
      </c>
      <c r="G58" s="50" t="s">
        <v>20</v>
      </c>
      <c r="H58" s="9" t="s">
        <v>20</v>
      </c>
      <c r="I58" s="10"/>
      <c r="J58" s="52" t="s">
        <v>30</v>
      </c>
    </row>
    <row r="59" spans="1:10" ht="15.75" customHeight="1" x14ac:dyDescent="0.2">
      <c r="A59" s="34">
        <v>45440</v>
      </c>
      <c r="B59" s="30">
        <v>0</v>
      </c>
      <c r="C59" s="7">
        <v>0</v>
      </c>
      <c r="D59" s="7">
        <v>0</v>
      </c>
      <c r="E59" s="12">
        <v>1</v>
      </c>
      <c r="F59" s="41" t="s">
        <v>12</v>
      </c>
      <c r="G59" s="50" t="s">
        <v>20</v>
      </c>
      <c r="H59" s="9" t="s">
        <v>20</v>
      </c>
      <c r="I59" s="10"/>
      <c r="J59" s="52" t="s">
        <v>30</v>
      </c>
    </row>
    <row r="60" spans="1:10" ht="15.75" customHeight="1" x14ac:dyDescent="0.2">
      <c r="A60" s="34">
        <v>45441</v>
      </c>
      <c r="B60" s="30">
        <v>0</v>
      </c>
      <c r="C60" s="7">
        <v>0</v>
      </c>
      <c r="D60" s="7">
        <v>0</v>
      </c>
      <c r="E60" s="12">
        <v>1</v>
      </c>
      <c r="F60" s="39" t="s">
        <v>10</v>
      </c>
      <c r="G60" s="54" t="s">
        <v>29</v>
      </c>
      <c r="H60" s="27" t="s">
        <v>22</v>
      </c>
      <c r="I60" s="10"/>
      <c r="J60" s="55" t="s">
        <v>22</v>
      </c>
    </row>
    <row r="61" spans="1:10" ht="15.75" customHeight="1" x14ac:dyDescent="0.2">
      <c r="A61" s="34">
        <v>45442</v>
      </c>
      <c r="B61" s="30">
        <v>0</v>
      </c>
      <c r="C61" s="7">
        <v>0</v>
      </c>
      <c r="D61" s="7">
        <v>0</v>
      </c>
      <c r="E61" s="8">
        <v>0</v>
      </c>
      <c r="F61" s="38"/>
      <c r="G61" s="50"/>
      <c r="H61" s="9"/>
      <c r="I61" s="10"/>
      <c r="J61" s="52"/>
    </row>
    <row r="62" spans="1:10" ht="15.75" customHeight="1" x14ac:dyDescent="0.2">
      <c r="A62" s="34">
        <v>45443</v>
      </c>
      <c r="B62" s="30">
        <v>0</v>
      </c>
      <c r="C62" s="7">
        <v>0</v>
      </c>
      <c r="D62" s="7">
        <v>0</v>
      </c>
      <c r="E62" s="8">
        <v>0</v>
      </c>
      <c r="F62" s="38"/>
      <c r="G62" s="50"/>
      <c r="H62" s="9"/>
      <c r="I62" s="10"/>
      <c r="J62" s="52"/>
    </row>
    <row r="63" spans="1:10" ht="15.75" customHeight="1" x14ac:dyDescent="0.2">
      <c r="A63" s="34">
        <v>45444</v>
      </c>
      <c r="B63" s="30">
        <v>0</v>
      </c>
      <c r="C63" s="7">
        <v>0</v>
      </c>
      <c r="D63" s="7">
        <v>0</v>
      </c>
      <c r="E63" s="8">
        <v>0</v>
      </c>
      <c r="F63" s="38"/>
      <c r="G63" s="50"/>
      <c r="H63" s="9"/>
      <c r="I63" s="10"/>
      <c r="J63" s="52"/>
    </row>
    <row r="64" spans="1:10" ht="15.75" customHeight="1" x14ac:dyDescent="0.2">
      <c r="A64" s="34">
        <v>45445</v>
      </c>
      <c r="B64" s="30">
        <v>0</v>
      </c>
      <c r="C64" s="7">
        <v>0</v>
      </c>
      <c r="D64" s="7">
        <v>0</v>
      </c>
      <c r="E64" s="8">
        <v>0</v>
      </c>
      <c r="F64" s="38"/>
      <c r="G64" s="50"/>
      <c r="H64" s="9"/>
      <c r="I64" s="10"/>
      <c r="J64" s="52"/>
    </row>
    <row r="65" spans="1:11" ht="15.75" customHeight="1" x14ac:dyDescent="0.2">
      <c r="A65" s="34">
        <v>45446</v>
      </c>
      <c r="B65" s="29">
        <v>1</v>
      </c>
      <c r="C65" s="7">
        <v>0</v>
      </c>
      <c r="D65" s="7">
        <v>0</v>
      </c>
      <c r="E65" s="8">
        <v>0</v>
      </c>
      <c r="F65" s="41" t="s">
        <v>12</v>
      </c>
      <c r="G65" s="50" t="s">
        <v>20</v>
      </c>
      <c r="H65" s="9" t="s">
        <v>20</v>
      </c>
      <c r="I65" s="10"/>
      <c r="J65" s="51" t="s">
        <v>20</v>
      </c>
    </row>
    <row r="66" spans="1:11" ht="15.75" customHeight="1" x14ac:dyDescent="0.2">
      <c r="A66" s="34">
        <v>45447</v>
      </c>
      <c r="B66" s="29">
        <v>1</v>
      </c>
      <c r="C66" s="7">
        <v>0</v>
      </c>
      <c r="D66" s="7">
        <v>0</v>
      </c>
      <c r="E66" s="8">
        <v>0</v>
      </c>
      <c r="F66" s="41" t="s">
        <v>12</v>
      </c>
      <c r="G66" s="50" t="s">
        <v>20</v>
      </c>
      <c r="H66" s="9" t="s">
        <v>20</v>
      </c>
      <c r="I66" s="10"/>
      <c r="J66" s="51" t="s">
        <v>20</v>
      </c>
    </row>
    <row r="67" spans="1:11" ht="15.75" customHeight="1" x14ac:dyDescent="0.2">
      <c r="A67" s="34">
        <v>45448</v>
      </c>
      <c r="B67" s="29">
        <v>1</v>
      </c>
      <c r="C67" s="7">
        <v>0</v>
      </c>
      <c r="D67" s="7">
        <v>0</v>
      </c>
      <c r="E67" s="8">
        <v>0</v>
      </c>
      <c r="F67" s="39" t="s">
        <v>10</v>
      </c>
      <c r="G67" s="50" t="s">
        <v>20</v>
      </c>
      <c r="H67" s="9" t="s">
        <v>20</v>
      </c>
      <c r="I67" s="10"/>
      <c r="J67" s="51" t="s">
        <v>20</v>
      </c>
    </row>
    <row r="68" spans="1:11" ht="15.75" customHeight="1" x14ac:dyDescent="0.2">
      <c r="A68" s="34">
        <v>45449</v>
      </c>
      <c r="B68" s="30">
        <v>0</v>
      </c>
      <c r="C68" s="7">
        <v>0</v>
      </c>
      <c r="D68" s="7">
        <v>0</v>
      </c>
      <c r="E68" s="8">
        <v>0</v>
      </c>
      <c r="F68" s="38"/>
      <c r="G68" s="50"/>
      <c r="H68" s="9"/>
      <c r="I68" s="10"/>
      <c r="J68" s="52"/>
    </row>
    <row r="69" spans="1:11" ht="15.75" customHeight="1" x14ac:dyDescent="0.2">
      <c r="A69" s="34">
        <v>45450</v>
      </c>
      <c r="B69" s="30">
        <v>0</v>
      </c>
      <c r="C69" s="7">
        <v>0</v>
      </c>
      <c r="D69" s="7">
        <v>0</v>
      </c>
      <c r="E69" s="8">
        <v>0</v>
      </c>
      <c r="F69" s="38"/>
      <c r="G69" s="50"/>
      <c r="H69" s="9"/>
      <c r="I69" s="10"/>
      <c r="J69" s="52"/>
    </row>
    <row r="70" spans="1:11" ht="15.75" customHeight="1" x14ac:dyDescent="0.2">
      <c r="A70" s="34">
        <v>45451</v>
      </c>
      <c r="B70" s="30">
        <v>0</v>
      </c>
      <c r="C70" s="7">
        <v>0</v>
      </c>
      <c r="D70" s="7">
        <v>0</v>
      </c>
      <c r="E70" s="8">
        <v>0</v>
      </c>
      <c r="F70" s="38"/>
      <c r="G70" s="50"/>
      <c r="H70" s="9"/>
      <c r="I70" s="10"/>
      <c r="J70" s="52"/>
    </row>
    <row r="71" spans="1:11" ht="15.75" customHeight="1" x14ac:dyDescent="0.2">
      <c r="A71" s="34">
        <v>45452</v>
      </c>
      <c r="B71" s="30">
        <v>0</v>
      </c>
      <c r="C71" s="7">
        <v>0</v>
      </c>
      <c r="D71" s="7">
        <v>0</v>
      </c>
      <c r="E71" s="8">
        <v>0</v>
      </c>
      <c r="F71" s="38"/>
      <c r="G71" s="50"/>
      <c r="H71" s="9"/>
      <c r="I71" s="10"/>
      <c r="J71" s="52"/>
    </row>
    <row r="72" spans="1:11" ht="15.75" customHeight="1" x14ac:dyDescent="0.2">
      <c r="A72" s="34">
        <v>45453</v>
      </c>
      <c r="B72" s="30">
        <v>0</v>
      </c>
      <c r="C72" s="7">
        <v>0</v>
      </c>
      <c r="D72" s="7">
        <v>0</v>
      </c>
      <c r="E72" s="8">
        <v>0</v>
      </c>
      <c r="F72" s="38"/>
      <c r="G72" s="50"/>
      <c r="H72" s="9"/>
      <c r="I72" s="10"/>
      <c r="J72" s="52"/>
    </row>
    <row r="73" spans="1:11" ht="15.75" customHeight="1" x14ac:dyDescent="0.2">
      <c r="A73" s="34">
        <v>45454</v>
      </c>
      <c r="B73" s="30">
        <v>0</v>
      </c>
      <c r="C73" s="11">
        <v>1</v>
      </c>
      <c r="D73" s="7">
        <v>0</v>
      </c>
      <c r="E73" s="8">
        <v>0</v>
      </c>
      <c r="F73" s="40" t="s">
        <v>11</v>
      </c>
      <c r="G73" s="50" t="s">
        <v>20</v>
      </c>
      <c r="H73" s="9" t="s">
        <v>20</v>
      </c>
      <c r="I73" s="10"/>
      <c r="J73" s="51" t="s">
        <v>20</v>
      </c>
    </row>
    <row r="74" spans="1:11" ht="15.75" customHeight="1" x14ac:dyDescent="0.2">
      <c r="A74" s="34">
        <v>45455</v>
      </c>
      <c r="B74" s="30">
        <v>0</v>
      </c>
      <c r="C74" s="11">
        <v>1</v>
      </c>
      <c r="D74" s="7">
        <v>0</v>
      </c>
      <c r="E74" s="8">
        <v>0</v>
      </c>
      <c r="F74" s="43" t="s">
        <v>13</v>
      </c>
      <c r="G74" s="50" t="s">
        <v>20</v>
      </c>
      <c r="H74" s="9" t="s">
        <v>20</v>
      </c>
      <c r="I74" s="10"/>
      <c r="J74" s="55" t="s">
        <v>22</v>
      </c>
      <c r="K74" s="24" t="s">
        <v>25</v>
      </c>
    </row>
    <row r="75" spans="1:11" ht="15.75" customHeight="1" x14ac:dyDescent="0.2">
      <c r="A75" s="34">
        <v>45456</v>
      </c>
      <c r="B75" s="30">
        <v>0</v>
      </c>
      <c r="C75" s="11">
        <v>1</v>
      </c>
      <c r="D75" s="7">
        <v>0</v>
      </c>
      <c r="E75" s="8">
        <v>0</v>
      </c>
      <c r="F75" s="39" t="s">
        <v>10</v>
      </c>
      <c r="G75" s="50" t="s">
        <v>20</v>
      </c>
      <c r="H75" s="9" t="s">
        <v>20</v>
      </c>
      <c r="I75" s="10"/>
      <c r="J75" s="55" t="s">
        <v>22</v>
      </c>
      <c r="K75" s="24" t="s">
        <v>25</v>
      </c>
    </row>
    <row r="76" spans="1:11" ht="15.75" customHeight="1" x14ac:dyDescent="0.2">
      <c r="A76" s="34">
        <v>45457</v>
      </c>
      <c r="B76" s="30">
        <v>0</v>
      </c>
      <c r="C76" s="7">
        <v>0</v>
      </c>
      <c r="D76" s="7">
        <v>0</v>
      </c>
      <c r="E76" s="8">
        <v>0</v>
      </c>
      <c r="F76" s="38"/>
      <c r="G76" s="50"/>
      <c r="H76" s="9"/>
      <c r="I76" s="10"/>
      <c r="J76" s="51"/>
    </row>
    <row r="77" spans="1:11" ht="15.75" customHeight="1" x14ac:dyDescent="0.2">
      <c r="A77" s="34">
        <v>45458</v>
      </c>
      <c r="B77" s="30">
        <v>0</v>
      </c>
      <c r="C77" s="7">
        <v>0</v>
      </c>
      <c r="D77" s="7">
        <v>0</v>
      </c>
      <c r="E77" s="8">
        <v>0</v>
      </c>
      <c r="F77" s="38"/>
      <c r="G77" s="50"/>
      <c r="H77" s="9"/>
      <c r="I77" s="10"/>
      <c r="J77" s="52"/>
    </row>
    <row r="78" spans="1:11" ht="15.75" customHeight="1" x14ac:dyDescent="0.2">
      <c r="A78" s="34">
        <v>45459</v>
      </c>
      <c r="B78" s="30">
        <v>0</v>
      </c>
      <c r="C78" s="7">
        <v>0</v>
      </c>
      <c r="D78" s="7">
        <v>0</v>
      </c>
      <c r="E78" s="8">
        <v>0</v>
      </c>
      <c r="F78" s="38"/>
      <c r="G78" s="50"/>
      <c r="H78" s="9"/>
      <c r="I78" s="10"/>
      <c r="J78" s="52"/>
    </row>
    <row r="79" spans="1:11" ht="15.75" customHeight="1" x14ac:dyDescent="0.2">
      <c r="A79" s="34">
        <v>45460</v>
      </c>
      <c r="B79" s="30">
        <v>0</v>
      </c>
      <c r="C79" s="7">
        <v>0</v>
      </c>
      <c r="D79" s="7">
        <v>0</v>
      </c>
      <c r="E79" s="8">
        <v>0</v>
      </c>
      <c r="F79" s="38"/>
      <c r="G79" s="50"/>
      <c r="H79" s="9"/>
      <c r="I79" s="10"/>
      <c r="J79" s="52"/>
    </row>
    <row r="80" spans="1:11" ht="15.75" customHeight="1" x14ac:dyDescent="0.2">
      <c r="A80" s="34">
        <v>45461</v>
      </c>
      <c r="B80" s="30">
        <v>0</v>
      </c>
      <c r="C80" s="7">
        <v>0</v>
      </c>
      <c r="D80" s="7">
        <v>0</v>
      </c>
      <c r="E80" s="8">
        <v>0</v>
      </c>
      <c r="F80" s="38"/>
      <c r="G80" s="50"/>
      <c r="H80" s="9"/>
      <c r="I80" s="10"/>
      <c r="J80" s="52"/>
    </row>
    <row r="81" spans="1:11" ht="15.75" customHeight="1" x14ac:dyDescent="0.2">
      <c r="A81" s="34">
        <v>45462</v>
      </c>
      <c r="B81" s="30">
        <v>0</v>
      </c>
      <c r="C81" s="7">
        <v>0</v>
      </c>
      <c r="D81" s="11">
        <v>1</v>
      </c>
      <c r="E81" s="8">
        <v>0</v>
      </c>
      <c r="F81" s="40" t="s">
        <v>11</v>
      </c>
      <c r="G81" s="50" t="s">
        <v>20</v>
      </c>
      <c r="H81" s="9" t="s">
        <v>20</v>
      </c>
      <c r="I81" s="10"/>
      <c r="J81" s="55" t="s">
        <v>22</v>
      </c>
      <c r="K81" s="24" t="s">
        <v>25</v>
      </c>
    </row>
    <row r="82" spans="1:11" ht="15.75" customHeight="1" x14ac:dyDescent="0.2">
      <c r="A82" s="34">
        <v>45463</v>
      </c>
      <c r="B82" s="30">
        <v>0</v>
      </c>
      <c r="C82" s="7">
        <v>0</v>
      </c>
      <c r="D82" s="11">
        <v>1</v>
      </c>
      <c r="E82" s="8">
        <v>0</v>
      </c>
      <c r="F82" s="40" t="s">
        <v>11</v>
      </c>
      <c r="G82" s="50" t="s">
        <v>20</v>
      </c>
      <c r="H82" s="9" t="s">
        <v>20</v>
      </c>
      <c r="I82" s="10"/>
      <c r="J82" s="55" t="s">
        <v>22</v>
      </c>
      <c r="K82" s="24" t="s">
        <v>25</v>
      </c>
    </row>
    <row r="83" spans="1:11" ht="15.75" customHeight="1" x14ac:dyDescent="0.2">
      <c r="A83" s="34">
        <v>45464</v>
      </c>
      <c r="B83" s="30">
        <v>0</v>
      </c>
      <c r="C83" s="7">
        <v>0</v>
      </c>
      <c r="D83" s="11">
        <v>1</v>
      </c>
      <c r="E83" s="8">
        <v>0</v>
      </c>
      <c r="F83" s="39" t="s">
        <v>10</v>
      </c>
      <c r="G83" s="50" t="s">
        <v>20</v>
      </c>
      <c r="H83" s="9" t="s">
        <v>20</v>
      </c>
      <c r="I83" s="10"/>
      <c r="J83" s="55" t="s">
        <v>22</v>
      </c>
      <c r="K83" s="24" t="s">
        <v>25</v>
      </c>
    </row>
    <row r="84" spans="1:11" ht="15.75" customHeight="1" x14ac:dyDescent="0.2">
      <c r="A84" s="34">
        <v>45465</v>
      </c>
      <c r="B84" s="30">
        <v>0</v>
      </c>
      <c r="C84" s="7">
        <v>0</v>
      </c>
      <c r="D84" s="7">
        <v>0</v>
      </c>
      <c r="E84" s="8">
        <v>0</v>
      </c>
      <c r="F84" s="38"/>
      <c r="G84" s="50"/>
      <c r="H84" s="9"/>
      <c r="I84" s="10"/>
      <c r="J84" s="51"/>
    </row>
    <row r="85" spans="1:11" ht="15.75" customHeight="1" x14ac:dyDescent="0.2">
      <c r="A85" s="34">
        <v>45466</v>
      </c>
      <c r="B85" s="30">
        <v>0</v>
      </c>
      <c r="C85" s="7">
        <v>0</v>
      </c>
      <c r="D85" s="7">
        <v>0</v>
      </c>
      <c r="E85" s="8">
        <v>0</v>
      </c>
      <c r="F85" s="38"/>
      <c r="G85" s="50"/>
      <c r="H85" s="9"/>
      <c r="I85" s="10"/>
      <c r="J85" s="51"/>
    </row>
    <row r="86" spans="1:11" ht="15.75" customHeight="1" x14ac:dyDescent="0.2">
      <c r="A86" s="34">
        <v>45467</v>
      </c>
      <c r="B86" s="30">
        <v>0</v>
      </c>
      <c r="C86" s="7">
        <v>0</v>
      </c>
      <c r="D86" s="7">
        <v>0</v>
      </c>
      <c r="E86" s="8">
        <v>0</v>
      </c>
      <c r="F86" s="38"/>
      <c r="G86" s="50"/>
      <c r="H86" s="9"/>
      <c r="I86" s="10"/>
      <c r="J86" s="52"/>
    </row>
    <row r="87" spans="1:11" ht="15.75" customHeight="1" x14ac:dyDescent="0.2">
      <c r="A87" s="34">
        <v>45468</v>
      </c>
      <c r="B87" s="30">
        <v>0</v>
      </c>
      <c r="C87" s="7">
        <v>0</v>
      </c>
      <c r="D87" s="7">
        <v>0</v>
      </c>
      <c r="E87" s="8">
        <v>0</v>
      </c>
      <c r="F87" s="38"/>
      <c r="G87" s="50"/>
      <c r="H87" s="9"/>
      <c r="I87" s="10"/>
      <c r="J87" s="52"/>
    </row>
    <row r="88" spans="1:11" ht="15.75" customHeight="1" x14ac:dyDescent="0.2">
      <c r="A88" s="34">
        <v>45469</v>
      </c>
      <c r="B88" s="30">
        <v>0</v>
      </c>
      <c r="C88" s="7">
        <v>0</v>
      </c>
      <c r="D88" s="7">
        <v>0</v>
      </c>
      <c r="E88" s="8">
        <v>0</v>
      </c>
      <c r="F88" s="38"/>
      <c r="G88" s="50"/>
      <c r="H88" s="9"/>
      <c r="I88" s="10"/>
      <c r="J88" s="52"/>
    </row>
    <row r="89" spans="1:11" ht="15.75" customHeight="1" x14ac:dyDescent="0.2">
      <c r="A89" s="34">
        <v>45470</v>
      </c>
      <c r="B89" s="30">
        <v>0</v>
      </c>
      <c r="C89" s="7">
        <v>0</v>
      </c>
      <c r="D89" s="7">
        <v>0</v>
      </c>
      <c r="E89" s="12">
        <v>1</v>
      </c>
      <c r="F89" s="41" t="s">
        <v>12</v>
      </c>
      <c r="G89" s="50" t="s">
        <v>20</v>
      </c>
      <c r="H89" s="9" t="s">
        <v>20</v>
      </c>
      <c r="I89" s="10"/>
      <c r="J89" s="51" t="s">
        <v>20</v>
      </c>
    </row>
    <row r="90" spans="1:11" ht="15.75" customHeight="1" x14ac:dyDescent="0.2">
      <c r="A90" s="34">
        <v>45471</v>
      </c>
      <c r="B90" s="30">
        <v>0</v>
      </c>
      <c r="C90" s="7">
        <v>0</v>
      </c>
      <c r="D90" s="7">
        <v>0</v>
      </c>
      <c r="E90" s="12">
        <v>1</v>
      </c>
      <c r="F90" s="41" t="s">
        <v>12</v>
      </c>
      <c r="G90" s="50" t="s">
        <v>20</v>
      </c>
      <c r="H90" s="9" t="s">
        <v>20</v>
      </c>
      <c r="I90" s="10"/>
      <c r="J90" s="51" t="s">
        <v>20</v>
      </c>
    </row>
    <row r="91" spans="1:11" ht="15.75" customHeight="1" x14ac:dyDescent="0.2">
      <c r="A91" s="34">
        <v>45472</v>
      </c>
      <c r="B91" s="30">
        <v>0</v>
      </c>
      <c r="C91" s="7">
        <v>0</v>
      </c>
      <c r="D91" s="7">
        <v>0</v>
      </c>
      <c r="E91" s="12">
        <v>1</v>
      </c>
      <c r="F91" s="39" t="s">
        <v>10</v>
      </c>
      <c r="G91" s="50" t="s">
        <v>20</v>
      </c>
      <c r="H91" s="9" t="s">
        <v>20</v>
      </c>
      <c r="I91" s="10"/>
      <c r="J91" s="51" t="s">
        <v>20</v>
      </c>
    </row>
    <row r="92" spans="1:11" ht="15.75" customHeight="1" x14ac:dyDescent="0.2">
      <c r="A92" s="34">
        <v>45473</v>
      </c>
      <c r="B92" s="30">
        <v>0</v>
      </c>
      <c r="C92" s="7">
        <v>0</v>
      </c>
      <c r="D92" s="7">
        <v>0</v>
      </c>
      <c r="E92" s="8">
        <v>0</v>
      </c>
      <c r="F92" s="38"/>
      <c r="G92" s="50"/>
      <c r="H92" s="9"/>
      <c r="I92" s="10"/>
      <c r="J92" s="52"/>
    </row>
    <row r="93" spans="1:11" ht="15.75" customHeight="1" x14ac:dyDescent="0.2">
      <c r="A93" s="34">
        <v>45474</v>
      </c>
      <c r="B93" s="30">
        <v>0</v>
      </c>
      <c r="C93" s="7">
        <v>0</v>
      </c>
      <c r="D93" s="7">
        <v>0</v>
      </c>
      <c r="E93" s="8">
        <v>0</v>
      </c>
      <c r="F93" s="38"/>
      <c r="G93" s="50"/>
      <c r="H93" s="9"/>
      <c r="I93" s="10"/>
      <c r="J93" s="52"/>
    </row>
    <row r="94" spans="1:11" ht="15.75" customHeight="1" x14ac:dyDescent="0.2">
      <c r="A94" s="34">
        <v>45475</v>
      </c>
      <c r="B94" s="30">
        <v>0</v>
      </c>
      <c r="C94" s="7">
        <v>0</v>
      </c>
      <c r="D94" s="7">
        <v>0</v>
      </c>
      <c r="E94" s="8">
        <v>0</v>
      </c>
      <c r="F94" s="38"/>
      <c r="G94" s="50"/>
      <c r="H94" s="9"/>
      <c r="I94" s="10"/>
      <c r="J94" s="52"/>
    </row>
    <row r="95" spans="1:11" ht="15.75" customHeight="1" x14ac:dyDescent="0.2">
      <c r="A95" s="34">
        <v>45476</v>
      </c>
      <c r="B95" s="30">
        <v>0</v>
      </c>
      <c r="C95" s="7">
        <v>0</v>
      </c>
      <c r="D95" s="7">
        <v>0</v>
      </c>
      <c r="E95" s="8">
        <v>0</v>
      </c>
      <c r="F95" s="38"/>
      <c r="G95" s="50"/>
      <c r="H95" s="9"/>
      <c r="I95" s="10"/>
      <c r="J95" s="52"/>
    </row>
    <row r="96" spans="1:11" ht="15.75" customHeight="1" x14ac:dyDescent="0.2">
      <c r="A96" s="34">
        <v>45477</v>
      </c>
      <c r="B96" s="30">
        <v>0</v>
      </c>
      <c r="C96" s="7">
        <v>0</v>
      </c>
      <c r="D96" s="7">
        <v>0</v>
      </c>
      <c r="E96" s="8">
        <v>0</v>
      </c>
      <c r="F96" s="38"/>
      <c r="G96" s="50"/>
      <c r="H96" s="9"/>
      <c r="I96" s="10"/>
      <c r="J96" s="52"/>
    </row>
    <row r="97" spans="1:10" ht="15.75" customHeight="1" x14ac:dyDescent="0.2">
      <c r="A97" s="34">
        <v>45478</v>
      </c>
      <c r="B97" s="29">
        <v>1</v>
      </c>
      <c r="C97" s="7">
        <v>0</v>
      </c>
      <c r="D97" s="7">
        <v>0</v>
      </c>
      <c r="E97" s="8">
        <v>0</v>
      </c>
      <c r="F97" s="40" t="s">
        <v>11</v>
      </c>
      <c r="G97" s="50" t="s">
        <v>20</v>
      </c>
      <c r="H97" s="9" t="s">
        <v>20</v>
      </c>
      <c r="I97" s="10"/>
      <c r="J97" s="55" t="s">
        <v>22</v>
      </c>
    </row>
    <row r="98" spans="1:10" ht="15.75" customHeight="1" x14ac:dyDescent="0.2">
      <c r="A98" s="34">
        <v>45479</v>
      </c>
      <c r="B98" s="29">
        <v>1</v>
      </c>
      <c r="C98" s="7">
        <v>0</v>
      </c>
      <c r="D98" s="7">
        <v>0</v>
      </c>
      <c r="E98" s="8">
        <v>0</v>
      </c>
      <c r="F98" s="40" t="s">
        <v>11</v>
      </c>
      <c r="G98" s="50" t="s">
        <v>20</v>
      </c>
      <c r="H98" s="9" t="s">
        <v>20</v>
      </c>
      <c r="I98" s="10"/>
      <c r="J98" s="51" t="s">
        <v>20</v>
      </c>
    </row>
    <row r="99" spans="1:10" ht="15.75" customHeight="1" x14ac:dyDescent="0.2">
      <c r="A99" s="34">
        <v>45480</v>
      </c>
      <c r="B99" s="29">
        <v>1</v>
      </c>
      <c r="C99" s="7">
        <v>0</v>
      </c>
      <c r="D99" s="7">
        <v>0</v>
      </c>
      <c r="E99" s="8">
        <v>0</v>
      </c>
      <c r="F99" s="39" t="s">
        <v>10</v>
      </c>
      <c r="G99" s="50" t="s">
        <v>20</v>
      </c>
      <c r="H99" s="9" t="s">
        <v>20</v>
      </c>
      <c r="I99" s="10"/>
      <c r="J99" s="51" t="s">
        <v>20</v>
      </c>
    </row>
    <row r="100" spans="1:10" ht="15.75" customHeight="1" x14ac:dyDescent="0.2">
      <c r="A100" s="34">
        <v>45481</v>
      </c>
      <c r="B100" s="30">
        <v>0</v>
      </c>
      <c r="C100" s="7">
        <v>0</v>
      </c>
      <c r="D100" s="7">
        <v>0</v>
      </c>
      <c r="E100" s="8">
        <v>0</v>
      </c>
      <c r="F100" s="38"/>
      <c r="G100" s="50"/>
      <c r="H100" s="9"/>
      <c r="I100" s="10"/>
      <c r="J100" s="52"/>
    </row>
    <row r="101" spans="1:10" ht="15.75" customHeight="1" x14ac:dyDescent="0.2">
      <c r="A101" s="34">
        <v>45482</v>
      </c>
      <c r="B101" s="30">
        <v>0</v>
      </c>
      <c r="C101" s="7">
        <v>0</v>
      </c>
      <c r="D101" s="7">
        <v>0</v>
      </c>
      <c r="E101" s="8">
        <v>0</v>
      </c>
      <c r="F101" s="38"/>
      <c r="G101" s="50"/>
      <c r="H101" s="9"/>
      <c r="I101" s="10"/>
      <c r="J101" s="52"/>
    </row>
    <row r="102" spans="1:10" ht="15.75" customHeight="1" x14ac:dyDescent="0.2">
      <c r="A102" s="34">
        <v>45483</v>
      </c>
      <c r="B102" s="30">
        <v>0</v>
      </c>
      <c r="C102" s="7">
        <v>0</v>
      </c>
      <c r="D102" s="7">
        <v>0</v>
      </c>
      <c r="E102" s="8">
        <v>0</v>
      </c>
      <c r="F102" s="38"/>
      <c r="G102" s="50"/>
      <c r="H102" s="9"/>
      <c r="I102" s="10"/>
      <c r="J102" s="52"/>
    </row>
    <row r="103" spans="1:10" ht="15.75" customHeight="1" x14ac:dyDescent="0.2">
      <c r="A103" s="34">
        <v>45484</v>
      </c>
      <c r="B103" s="30">
        <v>0</v>
      </c>
      <c r="C103" s="7">
        <v>0</v>
      </c>
      <c r="D103" s="7">
        <v>0</v>
      </c>
      <c r="E103" s="8">
        <v>0</v>
      </c>
      <c r="F103" s="38"/>
      <c r="G103" s="50"/>
      <c r="H103" s="9"/>
      <c r="I103" s="10"/>
      <c r="J103" s="52"/>
    </row>
    <row r="104" spans="1:10" ht="15.75" customHeight="1" x14ac:dyDescent="0.2">
      <c r="A104" s="34">
        <v>45485</v>
      </c>
      <c r="B104" s="30">
        <v>0</v>
      </c>
      <c r="C104" s="7">
        <v>0</v>
      </c>
      <c r="D104" s="7">
        <v>0</v>
      </c>
      <c r="E104" s="8">
        <v>0</v>
      </c>
      <c r="F104" s="38"/>
      <c r="G104" s="50"/>
      <c r="H104" s="9"/>
      <c r="I104" s="10"/>
      <c r="J104" s="52"/>
    </row>
    <row r="105" spans="1:10" ht="15.75" customHeight="1" x14ac:dyDescent="0.2">
      <c r="A105" s="34">
        <v>45486</v>
      </c>
      <c r="B105" s="30">
        <v>0</v>
      </c>
      <c r="C105" s="11">
        <v>1</v>
      </c>
      <c r="D105" s="7">
        <v>0</v>
      </c>
      <c r="E105" s="8">
        <v>0</v>
      </c>
      <c r="F105" s="40" t="s">
        <v>11</v>
      </c>
      <c r="G105" s="50" t="s">
        <v>20</v>
      </c>
      <c r="H105" s="9" t="s">
        <v>20</v>
      </c>
      <c r="I105" s="10"/>
      <c r="J105" s="51" t="s">
        <v>20</v>
      </c>
    </row>
    <row r="106" spans="1:10" ht="15.75" customHeight="1" x14ac:dyDescent="0.2">
      <c r="A106" s="34">
        <v>45487</v>
      </c>
      <c r="B106" s="30">
        <v>0</v>
      </c>
      <c r="C106" s="11">
        <v>1</v>
      </c>
      <c r="D106" s="7">
        <v>0</v>
      </c>
      <c r="E106" s="8">
        <v>0</v>
      </c>
      <c r="F106" s="40" t="s">
        <v>11</v>
      </c>
      <c r="G106" s="50" t="s">
        <v>20</v>
      </c>
      <c r="H106" s="9" t="s">
        <v>20</v>
      </c>
      <c r="I106" s="10"/>
      <c r="J106" s="51" t="s">
        <v>20</v>
      </c>
    </row>
    <row r="107" spans="1:10" ht="15.75" customHeight="1" x14ac:dyDescent="0.2">
      <c r="A107" s="34">
        <v>45488</v>
      </c>
      <c r="B107" s="30">
        <v>0</v>
      </c>
      <c r="C107" s="11">
        <v>1</v>
      </c>
      <c r="D107" s="7">
        <v>0</v>
      </c>
      <c r="E107" s="8">
        <v>0</v>
      </c>
      <c r="F107" s="39" t="s">
        <v>10</v>
      </c>
      <c r="G107" s="50" t="s">
        <v>20</v>
      </c>
      <c r="H107" s="9" t="s">
        <v>20</v>
      </c>
      <c r="I107" s="10"/>
      <c r="J107" s="51" t="s">
        <v>20</v>
      </c>
    </row>
    <row r="108" spans="1:10" ht="15.75" customHeight="1" x14ac:dyDescent="0.2">
      <c r="A108" s="34">
        <v>45489</v>
      </c>
      <c r="B108" s="30">
        <v>0</v>
      </c>
      <c r="C108" s="7">
        <v>0</v>
      </c>
      <c r="D108" s="7">
        <v>0</v>
      </c>
      <c r="E108" s="8">
        <v>0</v>
      </c>
      <c r="F108" s="38"/>
      <c r="G108" s="50"/>
      <c r="H108" s="9"/>
      <c r="I108" s="10"/>
      <c r="J108" s="52"/>
    </row>
    <row r="109" spans="1:10" ht="15.75" customHeight="1" x14ac:dyDescent="0.2">
      <c r="A109" s="34">
        <v>45490</v>
      </c>
      <c r="B109" s="30">
        <v>0</v>
      </c>
      <c r="C109" s="7">
        <v>0</v>
      </c>
      <c r="D109" s="7">
        <v>0</v>
      </c>
      <c r="E109" s="8">
        <v>0</v>
      </c>
      <c r="F109" s="38"/>
      <c r="G109" s="50"/>
      <c r="H109" s="9"/>
      <c r="I109" s="10"/>
      <c r="J109" s="52"/>
    </row>
    <row r="110" spans="1:10" ht="15.75" customHeight="1" x14ac:dyDescent="0.2">
      <c r="A110" s="34">
        <v>45491</v>
      </c>
      <c r="B110" s="30">
        <v>0</v>
      </c>
      <c r="C110" s="7">
        <v>0</v>
      </c>
      <c r="D110" s="7">
        <v>0</v>
      </c>
      <c r="E110" s="8">
        <v>0</v>
      </c>
      <c r="F110" s="38"/>
      <c r="G110" s="50"/>
      <c r="H110" s="9"/>
      <c r="I110" s="10"/>
      <c r="J110" s="52"/>
    </row>
    <row r="111" spans="1:10" ht="15.75" customHeight="1" x14ac:dyDescent="0.2">
      <c r="A111" s="34">
        <v>45492</v>
      </c>
      <c r="B111" s="30">
        <v>0</v>
      </c>
      <c r="C111" s="7">
        <v>0</v>
      </c>
      <c r="D111" s="7">
        <v>0</v>
      </c>
      <c r="E111" s="8">
        <v>0</v>
      </c>
      <c r="F111" s="38"/>
      <c r="G111" s="50"/>
      <c r="H111" s="9"/>
      <c r="I111" s="10"/>
      <c r="J111" s="52"/>
    </row>
    <row r="112" spans="1:10" ht="15.75" customHeight="1" x14ac:dyDescent="0.2">
      <c r="A112" s="34">
        <v>45493</v>
      </c>
      <c r="B112" s="30">
        <v>0</v>
      </c>
      <c r="C112" s="7">
        <v>0</v>
      </c>
      <c r="D112" s="7">
        <v>0</v>
      </c>
      <c r="E112" s="8">
        <v>0</v>
      </c>
      <c r="F112" s="38"/>
      <c r="G112" s="50"/>
      <c r="H112" s="9"/>
      <c r="I112" s="10"/>
      <c r="J112" s="52"/>
    </row>
    <row r="113" spans="1:11" ht="15.75" customHeight="1" x14ac:dyDescent="0.2">
      <c r="A113" s="34">
        <v>45494</v>
      </c>
      <c r="B113" s="30">
        <v>0</v>
      </c>
      <c r="C113" s="7">
        <v>0</v>
      </c>
      <c r="D113" s="11">
        <v>1</v>
      </c>
      <c r="E113" s="8">
        <v>0</v>
      </c>
      <c r="F113" s="40" t="s">
        <v>11</v>
      </c>
      <c r="G113" s="50" t="s">
        <v>20</v>
      </c>
      <c r="H113" s="9" t="s">
        <v>20</v>
      </c>
      <c r="I113" s="10"/>
      <c r="J113" s="55" t="s">
        <v>22</v>
      </c>
      <c r="K113" s="24" t="s">
        <v>31</v>
      </c>
    </row>
    <row r="114" spans="1:11" ht="15.75" customHeight="1" x14ac:dyDescent="0.2">
      <c r="A114" s="34">
        <v>45495</v>
      </c>
      <c r="B114" s="30">
        <v>0</v>
      </c>
      <c r="C114" s="7">
        <v>0</v>
      </c>
      <c r="D114" s="11">
        <v>1</v>
      </c>
      <c r="E114" s="8">
        <v>0</v>
      </c>
      <c r="F114" s="40" t="s">
        <v>11</v>
      </c>
      <c r="G114" s="50" t="s">
        <v>20</v>
      </c>
      <c r="H114" s="9" t="s">
        <v>20</v>
      </c>
      <c r="I114" s="10"/>
      <c r="J114" s="55" t="s">
        <v>22</v>
      </c>
      <c r="K114" s="24" t="s">
        <v>31</v>
      </c>
    </row>
    <row r="115" spans="1:11" ht="15.75" customHeight="1" x14ac:dyDescent="0.2">
      <c r="A115" s="34">
        <v>45496</v>
      </c>
      <c r="B115" s="30">
        <v>0</v>
      </c>
      <c r="C115" s="7">
        <v>0</v>
      </c>
      <c r="D115" s="11">
        <v>1</v>
      </c>
      <c r="E115" s="8">
        <v>0</v>
      </c>
      <c r="F115" s="39" t="s">
        <v>10</v>
      </c>
      <c r="G115" s="50" t="s">
        <v>20</v>
      </c>
      <c r="H115" s="9" t="s">
        <v>20</v>
      </c>
      <c r="I115" s="10"/>
      <c r="J115" s="51" t="s">
        <v>20</v>
      </c>
      <c r="K115" s="24"/>
    </row>
    <row r="116" spans="1:11" ht="15.75" customHeight="1" x14ac:dyDescent="0.2">
      <c r="A116" s="34">
        <v>45497</v>
      </c>
      <c r="B116" s="30">
        <v>0</v>
      </c>
      <c r="C116" s="7">
        <v>0</v>
      </c>
      <c r="D116" s="7">
        <v>0</v>
      </c>
      <c r="E116" s="8">
        <v>0</v>
      </c>
      <c r="F116" s="38"/>
      <c r="G116" s="50"/>
      <c r="H116" s="9"/>
      <c r="I116" s="10"/>
      <c r="J116" s="52"/>
    </row>
    <row r="117" spans="1:11" ht="15.75" customHeight="1" x14ac:dyDescent="0.2">
      <c r="A117" s="34">
        <v>45498</v>
      </c>
      <c r="B117" s="30">
        <v>0</v>
      </c>
      <c r="C117" s="7">
        <v>0</v>
      </c>
      <c r="D117" s="7">
        <v>0</v>
      </c>
      <c r="E117" s="8">
        <v>0</v>
      </c>
      <c r="F117" s="38"/>
      <c r="G117" s="50"/>
      <c r="H117" s="9"/>
      <c r="I117" s="10"/>
      <c r="J117" s="52"/>
    </row>
    <row r="118" spans="1:11" ht="15.75" customHeight="1" x14ac:dyDescent="0.2">
      <c r="A118" s="34">
        <v>45499</v>
      </c>
      <c r="B118" s="30">
        <v>0</v>
      </c>
      <c r="C118" s="7">
        <v>0</v>
      </c>
      <c r="D118" s="7">
        <v>0</v>
      </c>
      <c r="E118" s="8">
        <v>0</v>
      </c>
      <c r="F118" s="38"/>
      <c r="G118" s="50"/>
      <c r="H118" s="9"/>
      <c r="I118" s="10"/>
      <c r="J118" s="52"/>
    </row>
    <row r="119" spans="1:11" ht="15.75" customHeight="1" x14ac:dyDescent="0.2">
      <c r="A119" s="34">
        <v>45500</v>
      </c>
      <c r="B119" s="30">
        <v>0</v>
      </c>
      <c r="C119" s="7">
        <v>0</v>
      </c>
      <c r="D119" s="7">
        <v>0</v>
      </c>
      <c r="E119" s="8">
        <v>0</v>
      </c>
      <c r="F119" s="38"/>
      <c r="G119" s="50"/>
      <c r="H119" s="9"/>
      <c r="I119" s="10"/>
      <c r="J119" s="52"/>
    </row>
    <row r="120" spans="1:11" ht="15.75" customHeight="1" x14ac:dyDescent="0.2">
      <c r="A120" s="34">
        <v>45501</v>
      </c>
      <c r="B120" s="30">
        <v>0</v>
      </c>
      <c r="C120" s="7">
        <v>0</v>
      </c>
      <c r="D120" s="7">
        <v>0</v>
      </c>
      <c r="E120" s="8">
        <v>0</v>
      </c>
      <c r="F120" s="38"/>
      <c r="G120" s="50"/>
      <c r="H120" s="9"/>
      <c r="I120" s="10"/>
      <c r="J120" s="51"/>
    </row>
    <row r="121" spans="1:11" ht="15.75" customHeight="1" x14ac:dyDescent="0.2">
      <c r="A121" s="34">
        <v>45502</v>
      </c>
      <c r="B121" s="30">
        <v>0</v>
      </c>
      <c r="C121" s="7">
        <v>0</v>
      </c>
      <c r="D121" s="7">
        <v>0</v>
      </c>
      <c r="E121" s="12">
        <v>1</v>
      </c>
      <c r="F121" s="41" t="s">
        <v>12</v>
      </c>
      <c r="G121" s="50" t="s">
        <v>20</v>
      </c>
      <c r="H121" s="9" t="s">
        <v>20</v>
      </c>
      <c r="I121" s="10"/>
      <c r="J121" s="61" t="s">
        <v>33</v>
      </c>
    </row>
    <row r="122" spans="1:11" ht="15.75" customHeight="1" x14ac:dyDescent="0.2">
      <c r="A122" s="34">
        <v>45503</v>
      </c>
      <c r="B122" s="30">
        <v>0</v>
      </c>
      <c r="C122" s="7">
        <v>0</v>
      </c>
      <c r="D122" s="7">
        <v>0</v>
      </c>
      <c r="E122" s="12">
        <v>1</v>
      </c>
      <c r="F122" s="41" t="s">
        <v>12</v>
      </c>
      <c r="G122" s="50" t="s">
        <v>20</v>
      </c>
      <c r="H122" s="9" t="s">
        <v>20</v>
      </c>
      <c r="I122" s="10"/>
      <c r="J122" s="51" t="s">
        <v>20</v>
      </c>
    </row>
    <row r="123" spans="1:11" ht="15.75" customHeight="1" x14ac:dyDescent="0.2">
      <c r="A123" s="34">
        <v>45504</v>
      </c>
      <c r="B123" s="30">
        <v>0</v>
      </c>
      <c r="C123" s="7">
        <v>0</v>
      </c>
      <c r="D123" s="7">
        <v>0</v>
      </c>
      <c r="E123" s="12">
        <v>1</v>
      </c>
      <c r="F123" s="39" t="s">
        <v>10</v>
      </c>
      <c r="G123" s="50" t="s">
        <v>20</v>
      </c>
      <c r="H123" s="9" t="s">
        <v>20</v>
      </c>
      <c r="I123" s="10"/>
      <c r="J123" s="51" t="s">
        <v>20</v>
      </c>
    </row>
    <row r="124" spans="1:11" ht="15.75" customHeight="1" x14ac:dyDescent="0.2">
      <c r="A124" s="34">
        <v>45505</v>
      </c>
      <c r="B124" s="30">
        <v>0</v>
      </c>
      <c r="C124" s="7">
        <v>0</v>
      </c>
      <c r="D124" s="7">
        <v>0</v>
      </c>
      <c r="E124" s="8">
        <v>0</v>
      </c>
      <c r="F124" s="38"/>
      <c r="G124" s="50"/>
      <c r="H124" s="9"/>
      <c r="I124" s="10"/>
      <c r="J124" s="52"/>
    </row>
    <row r="125" spans="1:11" ht="15.75" customHeight="1" x14ac:dyDescent="0.2">
      <c r="A125" s="34">
        <v>45506</v>
      </c>
      <c r="B125" s="30">
        <v>0</v>
      </c>
      <c r="C125" s="7">
        <v>0</v>
      </c>
      <c r="D125" s="7">
        <v>0</v>
      </c>
      <c r="E125" s="8">
        <v>0</v>
      </c>
      <c r="F125" s="38"/>
      <c r="G125" s="50"/>
      <c r="H125" s="9"/>
      <c r="I125" s="10"/>
      <c r="J125" s="52"/>
    </row>
    <row r="126" spans="1:11" ht="15.75" customHeight="1" x14ac:dyDescent="0.2">
      <c r="A126" s="34">
        <v>45507</v>
      </c>
      <c r="B126" s="30">
        <v>0</v>
      </c>
      <c r="C126" s="7">
        <v>0</v>
      </c>
      <c r="D126" s="7">
        <v>0</v>
      </c>
      <c r="E126" s="8">
        <v>0</v>
      </c>
      <c r="F126" s="38"/>
      <c r="G126" s="50"/>
      <c r="H126" s="9"/>
      <c r="I126" s="10"/>
      <c r="J126" s="52"/>
    </row>
    <row r="127" spans="1:11" ht="15.75" customHeight="1" x14ac:dyDescent="0.2">
      <c r="A127" s="34">
        <v>45508</v>
      </c>
      <c r="B127" s="30">
        <v>0</v>
      </c>
      <c r="C127" s="7">
        <v>0</v>
      </c>
      <c r="D127" s="7">
        <v>0</v>
      </c>
      <c r="E127" s="8">
        <v>0</v>
      </c>
      <c r="F127" s="38"/>
      <c r="G127" s="50"/>
      <c r="H127" s="9"/>
      <c r="I127" s="10"/>
      <c r="J127" s="52"/>
    </row>
    <row r="128" spans="1:11" ht="15.75" customHeight="1" x14ac:dyDescent="0.2">
      <c r="A128" s="34">
        <v>45509</v>
      </c>
      <c r="B128" s="30">
        <v>0</v>
      </c>
      <c r="C128" s="7">
        <v>0</v>
      </c>
      <c r="D128" s="7">
        <v>0</v>
      </c>
      <c r="E128" s="8">
        <v>0</v>
      </c>
      <c r="F128" s="38"/>
      <c r="G128" s="50"/>
      <c r="H128" s="9"/>
      <c r="I128" s="10"/>
      <c r="J128" s="52"/>
    </row>
    <row r="129" spans="1:10" ht="15.75" customHeight="1" x14ac:dyDescent="0.2">
      <c r="A129" s="34">
        <v>45510</v>
      </c>
      <c r="B129" s="29">
        <v>1</v>
      </c>
      <c r="C129" s="7">
        <v>0</v>
      </c>
      <c r="D129" s="7">
        <v>0</v>
      </c>
      <c r="E129" s="8">
        <v>0</v>
      </c>
      <c r="F129" s="40" t="s">
        <v>11</v>
      </c>
      <c r="G129" s="50" t="s">
        <v>20</v>
      </c>
      <c r="H129" s="9" t="s">
        <v>20</v>
      </c>
      <c r="I129" s="10"/>
      <c r="J129" s="51" t="s">
        <v>20</v>
      </c>
    </row>
    <row r="130" spans="1:10" ht="15.75" customHeight="1" x14ac:dyDescent="0.2">
      <c r="A130" s="34">
        <v>45511</v>
      </c>
      <c r="B130" s="29">
        <v>1</v>
      </c>
      <c r="C130" s="7">
        <v>0</v>
      </c>
      <c r="D130" s="7">
        <v>0</v>
      </c>
      <c r="E130" s="8">
        <v>0</v>
      </c>
      <c r="F130" s="40" t="s">
        <v>11</v>
      </c>
      <c r="G130" s="50" t="s">
        <v>20</v>
      </c>
      <c r="H130" s="9" t="s">
        <v>20</v>
      </c>
      <c r="I130" s="10"/>
      <c r="J130" s="51" t="s">
        <v>20</v>
      </c>
    </row>
    <row r="131" spans="1:10" ht="15.75" customHeight="1" x14ac:dyDescent="0.2">
      <c r="A131" s="34">
        <v>45512</v>
      </c>
      <c r="B131" s="29">
        <v>1</v>
      </c>
      <c r="C131" s="7">
        <v>0</v>
      </c>
      <c r="D131" s="7">
        <v>0</v>
      </c>
      <c r="E131" s="8">
        <v>0</v>
      </c>
      <c r="F131" s="39" t="s">
        <v>10</v>
      </c>
      <c r="G131" s="50" t="s">
        <v>20</v>
      </c>
      <c r="H131" s="9" t="s">
        <v>20</v>
      </c>
      <c r="I131" s="10"/>
      <c r="J131" s="51" t="s">
        <v>20</v>
      </c>
    </row>
    <row r="132" spans="1:10" ht="15.75" customHeight="1" x14ac:dyDescent="0.2">
      <c r="A132" s="34">
        <v>45513</v>
      </c>
      <c r="B132" s="30">
        <v>0</v>
      </c>
      <c r="C132" s="7">
        <v>0</v>
      </c>
      <c r="D132" s="7">
        <v>0</v>
      </c>
      <c r="E132" s="8">
        <v>0</v>
      </c>
      <c r="F132" s="38"/>
      <c r="G132" s="50"/>
      <c r="H132" s="9"/>
      <c r="I132" s="10"/>
      <c r="J132" s="52"/>
    </row>
    <row r="133" spans="1:10" ht="15.75" customHeight="1" x14ac:dyDescent="0.2">
      <c r="A133" s="34">
        <v>45514</v>
      </c>
      <c r="B133" s="30">
        <v>0</v>
      </c>
      <c r="C133" s="7">
        <v>0</v>
      </c>
      <c r="D133" s="7">
        <v>0</v>
      </c>
      <c r="E133" s="8">
        <v>0</v>
      </c>
      <c r="F133" s="38"/>
      <c r="G133" s="50"/>
      <c r="H133" s="9"/>
      <c r="I133" s="10"/>
      <c r="J133" s="52"/>
    </row>
    <row r="134" spans="1:10" ht="15.75" customHeight="1" x14ac:dyDescent="0.2">
      <c r="A134" s="34">
        <v>45515</v>
      </c>
      <c r="B134" s="30">
        <v>0</v>
      </c>
      <c r="C134" s="7">
        <v>0</v>
      </c>
      <c r="D134" s="7">
        <v>0</v>
      </c>
      <c r="E134" s="8">
        <v>0</v>
      </c>
      <c r="F134" s="38"/>
      <c r="G134" s="50"/>
      <c r="H134" s="9"/>
      <c r="I134" s="10"/>
      <c r="J134" s="52"/>
    </row>
    <row r="135" spans="1:10" ht="15.75" customHeight="1" x14ac:dyDescent="0.2">
      <c r="A135" s="34">
        <v>45516</v>
      </c>
      <c r="B135" s="30">
        <v>0</v>
      </c>
      <c r="C135" s="7">
        <v>0</v>
      </c>
      <c r="D135" s="7">
        <v>0</v>
      </c>
      <c r="E135" s="8">
        <v>0</v>
      </c>
      <c r="F135" s="38"/>
      <c r="G135" s="50"/>
      <c r="H135" s="9"/>
      <c r="I135" s="10"/>
      <c r="J135" s="52"/>
    </row>
    <row r="136" spans="1:10" ht="15.75" customHeight="1" x14ac:dyDescent="0.2">
      <c r="A136" s="34">
        <v>45517</v>
      </c>
      <c r="B136" s="30">
        <v>0</v>
      </c>
      <c r="C136" s="7">
        <v>0</v>
      </c>
      <c r="D136" s="7">
        <v>0</v>
      </c>
      <c r="E136" s="8">
        <v>0</v>
      </c>
      <c r="F136" s="38"/>
      <c r="G136" s="50"/>
      <c r="H136" s="9"/>
      <c r="I136" s="10"/>
      <c r="J136" s="52"/>
    </row>
    <row r="137" spans="1:10" ht="15.75" customHeight="1" x14ac:dyDescent="0.2">
      <c r="A137" s="34">
        <v>45518</v>
      </c>
      <c r="B137" s="30">
        <v>0</v>
      </c>
      <c r="C137" s="11">
        <v>1</v>
      </c>
      <c r="D137" s="7">
        <v>0</v>
      </c>
      <c r="E137" s="8">
        <v>0</v>
      </c>
      <c r="F137" s="40" t="s">
        <v>11</v>
      </c>
      <c r="G137" s="50" t="s">
        <v>20</v>
      </c>
      <c r="H137" s="9" t="s">
        <v>20</v>
      </c>
      <c r="I137" s="10"/>
      <c r="J137" s="61" t="s">
        <v>33</v>
      </c>
    </row>
    <row r="138" spans="1:10" ht="15.75" customHeight="1" x14ac:dyDescent="0.2">
      <c r="A138" s="34">
        <v>45519</v>
      </c>
      <c r="B138" s="30">
        <v>0</v>
      </c>
      <c r="C138" s="11">
        <v>1</v>
      </c>
      <c r="D138" s="7">
        <v>0</v>
      </c>
      <c r="E138" s="8">
        <v>0</v>
      </c>
      <c r="F138" s="40" t="s">
        <v>11</v>
      </c>
      <c r="G138" s="50" t="s">
        <v>20</v>
      </c>
      <c r="H138" s="9" t="s">
        <v>20</v>
      </c>
      <c r="I138" s="10"/>
      <c r="J138" s="51" t="s">
        <v>20</v>
      </c>
    </row>
    <row r="139" spans="1:10" ht="15.75" customHeight="1" x14ac:dyDescent="0.2">
      <c r="A139" s="34">
        <v>45520</v>
      </c>
      <c r="B139" s="30">
        <v>0</v>
      </c>
      <c r="C139" s="11">
        <v>1</v>
      </c>
      <c r="D139" s="7">
        <v>0</v>
      </c>
      <c r="E139" s="8">
        <v>0</v>
      </c>
      <c r="F139" s="39" t="s">
        <v>10</v>
      </c>
      <c r="G139" s="50" t="s">
        <v>20</v>
      </c>
      <c r="H139" s="9" t="s">
        <v>20</v>
      </c>
      <c r="I139" s="10"/>
      <c r="J139" s="51" t="s">
        <v>20</v>
      </c>
    </row>
    <row r="140" spans="1:10" ht="15.75" customHeight="1" x14ac:dyDescent="0.2">
      <c r="A140" s="34">
        <v>45521</v>
      </c>
      <c r="B140" s="30">
        <v>0</v>
      </c>
      <c r="C140" s="7">
        <v>0</v>
      </c>
      <c r="D140" s="7">
        <v>0</v>
      </c>
      <c r="E140" s="8">
        <v>0</v>
      </c>
      <c r="F140" s="38"/>
      <c r="G140" s="50"/>
      <c r="H140" s="9"/>
      <c r="I140" s="10"/>
      <c r="J140" s="52"/>
    </row>
    <row r="141" spans="1:10" ht="15.75" customHeight="1" x14ac:dyDescent="0.2">
      <c r="A141" s="34">
        <v>45522</v>
      </c>
      <c r="B141" s="30">
        <v>0</v>
      </c>
      <c r="C141" s="7">
        <v>0</v>
      </c>
      <c r="D141" s="7">
        <v>0</v>
      </c>
      <c r="E141" s="8">
        <v>0</v>
      </c>
      <c r="F141" s="38"/>
      <c r="G141" s="50"/>
      <c r="H141" s="9"/>
      <c r="I141" s="10"/>
      <c r="J141" s="52"/>
    </row>
    <row r="142" spans="1:10" ht="15.75" customHeight="1" x14ac:dyDescent="0.2">
      <c r="A142" s="34">
        <v>45523</v>
      </c>
      <c r="B142" s="30">
        <v>0</v>
      </c>
      <c r="C142" s="7">
        <v>0</v>
      </c>
      <c r="D142" s="7">
        <v>0</v>
      </c>
      <c r="E142" s="8">
        <v>0</v>
      </c>
      <c r="F142" s="38"/>
      <c r="G142" s="50"/>
      <c r="H142" s="9"/>
      <c r="I142" s="10"/>
      <c r="J142" s="52"/>
    </row>
    <row r="143" spans="1:10" ht="15.75" customHeight="1" x14ac:dyDescent="0.2">
      <c r="A143" s="34">
        <v>45524</v>
      </c>
      <c r="B143" s="30">
        <v>0</v>
      </c>
      <c r="C143" s="7">
        <v>0</v>
      </c>
      <c r="D143" s="7">
        <v>0</v>
      </c>
      <c r="E143" s="8">
        <v>0</v>
      </c>
      <c r="F143" s="38"/>
      <c r="G143" s="50"/>
      <c r="H143" s="9"/>
      <c r="I143" s="10"/>
      <c r="J143" s="52"/>
    </row>
    <row r="144" spans="1:10" ht="15.75" customHeight="1" x14ac:dyDescent="0.2">
      <c r="A144" s="34">
        <v>45525</v>
      </c>
      <c r="B144" s="30">
        <v>0</v>
      </c>
      <c r="C144" s="7">
        <v>0</v>
      </c>
      <c r="D144" s="7">
        <v>0</v>
      </c>
      <c r="E144" s="8">
        <v>0</v>
      </c>
      <c r="F144" s="38"/>
      <c r="G144" s="50"/>
      <c r="H144" s="9"/>
      <c r="I144" s="10"/>
      <c r="J144" s="52"/>
    </row>
    <row r="145" spans="1:13" ht="15.75" customHeight="1" x14ac:dyDescent="0.2">
      <c r="A145" s="34">
        <v>45526</v>
      </c>
      <c r="B145" s="30">
        <v>0</v>
      </c>
      <c r="C145" s="7">
        <v>0</v>
      </c>
      <c r="D145" s="11">
        <v>1</v>
      </c>
      <c r="E145" s="8">
        <v>0</v>
      </c>
      <c r="F145" s="41" t="s">
        <v>12</v>
      </c>
      <c r="G145" s="50" t="s">
        <v>20</v>
      </c>
      <c r="H145" s="9" t="s">
        <v>20</v>
      </c>
      <c r="I145" s="10"/>
      <c r="J145" s="51" t="s">
        <v>20</v>
      </c>
    </row>
    <row r="146" spans="1:13" ht="15.75" customHeight="1" thickBot="1" x14ac:dyDescent="0.25">
      <c r="A146" s="34">
        <v>45527</v>
      </c>
      <c r="B146" s="30">
        <v>0</v>
      </c>
      <c r="C146" s="7">
        <v>0</v>
      </c>
      <c r="D146" s="11">
        <v>1</v>
      </c>
      <c r="E146" s="8">
        <v>0</v>
      </c>
      <c r="F146" s="41" t="s">
        <v>12</v>
      </c>
      <c r="G146" s="50" t="s">
        <v>20</v>
      </c>
      <c r="H146" s="9" t="s">
        <v>20</v>
      </c>
      <c r="I146" s="10"/>
      <c r="J146" s="51" t="s">
        <v>20</v>
      </c>
    </row>
    <row r="147" spans="1:13" ht="15.75" customHeight="1" x14ac:dyDescent="0.2">
      <c r="A147" s="34">
        <v>45528</v>
      </c>
      <c r="B147" s="30">
        <v>0</v>
      </c>
      <c r="C147" s="7">
        <v>0</v>
      </c>
      <c r="D147" s="11">
        <v>1</v>
      </c>
      <c r="E147" s="8">
        <v>0</v>
      </c>
      <c r="F147" s="39" t="s">
        <v>10</v>
      </c>
      <c r="G147" s="50" t="s">
        <v>20</v>
      </c>
      <c r="H147" s="9" t="s">
        <v>20</v>
      </c>
      <c r="I147" s="10"/>
      <c r="J147" s="51" t="s">
        <v>20</v>
      </c>
      <c r="L147" s="13" t="s">
        <v>14</v>
      </c>
      <c r="M147" s="14">
        <f>COUNTIF(F2:F184," Pignata")</f>
        <v>18</v>
      </c>
    </row>
    <row r="148" spans="1:13" ht="15.75" customHeight="1" x14ac:dyDescent="0.2">
      <c r="A148" s="34">
        <v>45529</v>
      </c>
      <c r="B148" s="30">
        <v>0</v>
      </c>
      <c r="C148" s="7">
        <v>0</v>
      </c>
      <c r="D148" s="7">
        <v>0</v>
      </c>
      <c r="E148" s="8">
        <v>0</v>
      </c>
      <c r="F148" s="38"/>
      <c r="G148" s="50"/>
      <c r="H148" s="9"/>
      <c r="I148" s="10"/>
      <c r="J148" s="52"/>
      <c r="L148" s="15" t="s">
        <v>15</v>
      </c>
      <c r="M148" s="16">
        <f>COUNTIF(F2:F184,"Cáceres")</f>
        <v>23</v>
      </c>
    </row>
    <row r="149" spans="1:13" ht="15.75" customHeight="1" x14ac:dyDescent="0.2">
      <c r="A149" s="34">
        <v>45530</v>
      </c>
      <c r="B149" s="30">
        <v>0</v>
      </c>
      <c r="C149" s="7">
        <v>0</v>
      </c>
      <c r="D149" s="7">
        <v>0</v>
      </c>
      <c r="E149" s="8">
        <v>0</v>
      </c>
      <c r="F149" s="38"/>
      <c r="G149" s="50"/>
      <c r="H149" s="9"/>
      <c r="I149" s="10"/>
      <c r="J149" s="52"/>
      <c r="L149" s="15" t="s">
        <v>16</v>
      </c>
      <c r="M149" s="16">
        <f>COUNTIF(F2:F184,"Arévalo")</f>
        <v>21</v>
      </c>
    </row>
    <row r="150" spans="1:13" ht="15.75" customHeight="1" x14ac:dyDescent="0.2">
      <c r="A150" s="34">
        <v>45531</v>
      </c>
      <c r="B150" s="30">
        <v>0</v>
      </c>
      <c r="C150" s="7">
        <v>0</v>
      </c>
      <c r="D150" s="7">
        <v>0</v>
      </c>
      <c r="E150" s="8">
        <v>0</v>
      </c>
      <c r="F150" s="38"/>
      <c r="G150" s="50"/>
      <c r="H150" s="9"/>
      <c r="I150" s="10"/>
      <c r="J150" s="52"/>
      <c r="L150" s="15" t="s">
        <v>17</v>
      </c>
      <c r="M150" s="16">
        <f>COUNTIF(F2:F184,"Meza")</f>
        <v>1</v>
      </c>
    </row>
    <row r="151" spans="1:13" ht="15.75" customHeight="1" thickBot="1" x14ac:dyDescent="0.25">
      <c r="A151" s="34">
        <v>45532</v>
      </c>
      <c r="B151" s="30">
        <v>0</v>
      </c>
      <c r="C151" s="7">
        <v>0</v>
      </c>
      <c r="D151" s="7">
        <v>0</v>
      </c>
      <c r="E151" s="8">
        <v>0</v>
      </c>
      <c r="F151" s="38"/>
      <c r="G151" s="50"/>
      <c r="H151" s="9"/>
      <c r="I151" s="10"/>
      <c r="J151" s="52"/>
      <c r="L151" s="17" t="s">
        <v>18</v>
      </c>
      <c r="M151" s="18">
        <f>COUNTIF(F2:F184,"Shablovinskaya")</f>
        <v>3</v>
      </c>
    </row>
    <row r="152" spans="1:13" ht="15.75" customHeight="1" thickBot="1" x14ac:dyDescent="0.25">
      <c r="A152" s="34">
        <v>45533</v>
      </c>
      <c r="B152" s="30">
        <v>0</v>
      </c>
      <c r="C152" s="7">
        <v>0</v>
      </c>
      <c r="D152" s="7">
        <v>0</v>
      </c>
      <c r="E152" s="8">
        <v>0</v>
      </c>
      <c r="F152" s="38"/>
      <c r="G152" s="50"/>
      <c r="H152" s="9"/>
      <c r="I152" s="10"/>
      <c r="J152" s="52"/>
      <c r="M152" s="19">
        <f>SUM(M147:M151)</f>
        <v>66</v>
      </c>
    </row>
    <row r="153" spans="1:13" ht="15.75" customHeight="1" x14ac:dyDescent="0.2">
      <c r="A153" s="34">
        <v>45534</v>
      </c>
      <c r="B153" s="30">
        <v>0</v>
      </c>
      <c r="C153" s="7">
        <v>0</v>
      </c>
      <c r="D153" s="7">
        <v>0</v>
      </c>
      <c r="E153" s="12">
        <v>1</v>
      </c>
      <c r="F153" s="41" t="s">
        <v>12</v>
      </c>
      <c r="G153" s="50" t="s">
        <v>20</v>
      </c>
      <c r="H153" s="9" t="s">
        <v>20</v>
      </c>
      <c r="I153" s="10"/>
      <c r="J153" s="61" t="s">
        <v>33</v>
      </c>
    </row>
    <row r="154" spans="1:13" ht="15.75" customHeight="1" x14ac:dyDescent="0.2">
      <c r="A154" s="34">
        <v>45535</v>
      </c>
      <c r="B154" s="30">
        <v>0</v>
      </c>
      <c r="C154" s="7">
        <v>0</v>
      </c>
      <c r="D154" s="7">
        <v>0</v>
      </c>
      <c r="E154" s="12">
        <v>1</v>
      </c>
      <c r="F154" s="41" t="s">
        <v>12</v>
      </c>
      <c r="G154" s="50" t="s">
        <v>20</v>
      </c>
      <c r="H154" s="9" t="s">
        <v>20</v>
      </c>
      <c r="I154" s="10"/>
      <c r="J154" s="61" t="s">
        <v>33</v>
      </c>
    </row>
    <row r="155" spans="1:13" ht="15.75" customHeight="1" x14ac:dyDescent="0.2">
      <c r="A155" s="34">
        <v>45536</v>
      </c>
      <c r="B155" s="30">
        <v>0</v>
      </c>
      <c r="C155" s="7">
        <v>0</v>
      </c>
      <c r="D155" s="7">
        <v>0</v>
      </c>
      <c r="E155" s="12">
        <v>1</v>
      </c>
      <c r="F155" s="41" t="s">
        <v>12</v>
      </c>
      <c r="G155" s="50" t="s">
        <v>20</v>
      </c>
      <c r="H155" s="9" t="s">
        <v>20</v>
      </c>
      <c r="I155" s="10"/>
      <c r="J155" s="51" t="s">
        <v>20</v>
      </c>
    </row>
    <row r="156" spans="1:13" ht="15.75" customHeight="1" x14ac:dyDescent="0.2">
      <c r="A156" s="34">
        <v>45537</v>
      </c>
      <c r="B156" s="30">
        <v>0</v>
      </c>
      <c r="C156" s="7">
        <v>0</v>
      </c>
      <c r="D156" s="7">
        <v>0</v>
      </c>
      <c r="E156" s="8">
        <v>0</v>
      </c>
      <c r="F156" s="38"/>
      <c r="G156" s="50"/>
      <c r="H156" s="9"/>
      <c r="I156" s="10"/>
      <c r="J156" s="52"/>
    </row>
    <row r="157" spans="1:13" ht="15.75" customHeight="1" x14ac:dyDescent="0.2">
      <c r="A157" s="34">
        <v>45538</v>
      </c>
      <c r="B157" s="30">
        <v>0</v>
      </c>
      <c r="C157" s="7">
        <v>0</v>
      </c>
      <c r="D157" s="7">
        <v>0</v>
      </c>
      <c r="E157" s="8">
        <v>0</v>
      </c>
      <c r="F157" s="38"/>
      <c r="G157" s="50"/>
      <c r="H157" s="9"/>
      <c r="I157" s="10"/>
      <c r="J157" s="52"/>
    </row>
    <row r="158" spans="1:13" ht="15.75" customHeight="1" x14ac:dyDescent="0.2">
      <c r="A158" s="34">
        <v>45539</v>
      </c>
      <c r="B158" s="30">
        <v>0</v>
      </c>
      <c r="C158" s="7">
        <v>0</v>
      </c>
      <c r="D158" s="7">
        <v>0</v>
      </c>
      <c r="E158" s="8">
        <v>0</v>
      </c>
      <c r="F158" s="38"/>
      <c r="G158" s="50"/>
      <c r="H158" s="9"/>
      <c r="I158" s="10"/>
      <c r="J158" s="52"/>
    </row>
    <row r="159" spans="1:13" ht="15.75" customHeight="1" x14ac:dyDescent="0.2">
      <c r="A159" s="34">
        <v>45540</v>
      </c>
      <c r="B159" s="30">
        <v>0</v>
      </c>
      <c r="C159" s="7">
        <v>0</v>
      </c>
      <c r="D159" s="7">
        <v>0</v>
      </c>
      <c r="E159" s="8">
        <v>0</v>
      </c>
      <c r="F159" s="38"/>
      <c r="G159" s="50"/>
      <c r="H159" s="9"/>
      <c r="I159" s="10"/>
      <c r="J159" s="52"/>
    </row>
    <row r="160" spans="1:13" ht="15.75" customHeight="1" x14ac:dyDescent="0.2">
      <c r="A160" s="34">
        <v>45541</v>
      </c>
      <c r="B160" s="30">
        <v>0</v>
      </c>
      <c r="C160" s="7">
        <v>0</v>
      </c>
      <c r="D160" s="7">
        <v>0</v>
      </c>
      <c r="E160" s="8">
        <v>0</v>
      </c>
      <c r="F160" s="38"/>
      <c r="G160" s="50"/>
      <c r="H160" s="9"/>
      <c r="I160" s="10"/>
      <c r="J160" s="52"/>
    </row>
    <row r="161" spans="1:10" ht="15.75" customHeight="1" x14ac:dyDescent="0.2">
      <c r="A161" s="34">
        <v>45542</v>
      </c>
      <c r="B161" s="29">
        <v>1</v>
      </c>
      <c r="C161" s="7">
        <v>0</v>
      </c>
      <c r="D161" s="7">
        <v>0</v>
      </c>
      <c r="E161" s="8">
        <v>0</v>
      </c>
      <c r="F161" s="41" t="s">
        <v>12</v>
      </c>
      <c r="G161" s="50" t="s">
        <v>20</v>
      </c>
      <c r="H161" s="9" t="s">
        <v>20</v>
      </c>
      <c r="I161" s="10"/>
      <c r="J161" s="51" t="s">
        <v>20</v>
      </c>
    </row>
    <row r="162" spans="1:10" ht="15.75" customHeight="1" x14ac:dyDescent="0.2">
      <c r="A162" s="34">
        <v>45543</v>
      </c>
      <c r="B162" s="29">
        <v>1</v>
      </c>
      <c r="C162" s="7">
        <v>0</v>
      </c>
      <c r="D162" s="7">
        <v>0</v>
      </c>
      <c r="E162" s="8">
        <v>0</v>
      </c>
      <c r="F162" s="41" t="s">
        <v>12</v>
      </c>
      <c r="G162" s="50" t="s">
        <v>20</v>
      </c>
      <c r="H162" s="9" t="s">
        <v>20</v>
      </c>
      <c r="I162" s="10"/>
      <c r="J162" s="51" t="s">
        <v>20</v>
      </c>
    </row>
    <row r="163" spans="1:10" ht="15.75" customHeight="1" x14ac:dyDescent="0.2">
      <c r="A163" s="34">
        <v>45544</v>
      </c>
      <c r="B163" s="30">
        <v>0</v>
      </c>
      <c r="C163" s="7">
        <v>0</v>
      </c>
      <c r="D163" s="7">
        <v>0</v>
      </c>
      <c r="E163" s="8">
        <v>0</v>
      </c>
      <c r="F163" s="38"/>
      <c r="G163" s="50"/>
      <c r="H163" s="60" t="s">
        <v>32</v>
      </c>
      <c r="I163" s="10"/>
      <c r="J163" s="52"/>
    </row>
    <row r="164" spans="1:10" ht="15.75" customHeight="1" x14ac:dyDescent="0.2">
      <c r="A164" s="34">
        <v>45545</v>
      </c>
      <c r="B164" s="30">
        <v>0</v>
      </c>
      <c r="C164" s="7">
        <v>0</v>
      </c>
      <c r="D164" s="7">
        <v>0</v>
      </c>
      <c r="E164" s="8">
        <v>0</v>
      </c>
      <c r="F164" s="38"/>
      <c r="G164" s="50"/>
      <c r="H164" s="9"/>
      <c r="I164" s="10"/>
      <c r="J164" s="52"/>
    </row>
    <row r="165" spans="1:10" ht="15.75" customHeight="1" x14ac:dyDescent="0.2">
      <c r="A165" s="34">
        <v>45546</v>
      </c>
      <c r="B165" s="30">
        <v>0</v>
      </c>
      <c r="C165" s="7">
        <v>0</v>
      </c>
      <c r="D165" s="7">
        <v>0</v>
      </c>
      <c r="E165" s="8">
        <v>0</v>
      </c>
      <c r="F165" s="38"/>
      <c r="G165" s="50"/>
      <c r="H165" s="9"/>
      <c r="I165" s="10"/>
      <c r="J165" s="52"/>
    </row>
    <row r="166" spans="1:10" ht="15.75" customHeight="1" x14ac:dyDescent="0.2">
      <c r="A166" s="34">
        <v>45547</v>
      </c>
      <c r="B166" s="30">
        <v>0</v>
      </c>
      <c r="C166" s="7">
        <v>0</v>
      </c>
      <c r="D166" s="7">
        <v>0</v>
      </c>
      <c r="E166" s="8">
        <v>0</v>
      </c>
      <c r="F166" s="38"/>
      <c r="G166" s="50"/>
      <c r="H166" s="9"/>
      <c r="I166" s="10"/>
      <c r="J166" s="52"/>
    </row>
    <row r="167" spans="1:10" ht="15.75" customHeight="1" x14ac:dyDescent="0.2">
      <c r="A167" s="34">
        <v>45548</v>
      </c>
      <c r="B167" s="30">
        <v>0</v>
      </c>
      <c r="C167" s="7">
        <v>0</v>
      </c>
      <c r="D167" s="7">
        <v>0</v>
      </c>
      <c r="E167" s="8">
        <v>0</v>
      </c>
      <c r="F167" s="38"/>
      <c r="G167" s="50"/>
      <c r="H167" s="9"/>
      <c r="I167" s="10"/>
      <c r="J167" s="52"/>
    </row>
    <row r="168" spans="1:10" ht="15.75" customHeight="1" x14ac:dyDescent="0.2">
      <c r="A168" s="34">
        <v>45549</v>
      </c>
      <c r="B168" s="30">
        <v>0</v>
      </c>
      <c r="C168" s="7">
        <v>0</v>
      </c>
      <c r="D168" s="7">
        <v>0</v>
      </c>
      <c r="E168" s="8">
        <v>0</v>
      </c>
      <c r="F168" s="38"/>
      <c r="G168" s="50"/>
      <c r="H168" s="9"/>
      <c r="I168" s="10"/>
      <c r="J168" s="52"/>
    </row>
    <row r="169" spans="1:10" ht="15.75" customHeight="1" x14ac:dyDescent="0.2">
      <c r="A169" s="34">
        <v>45550</v>
      </c>
      <c r="B169" s="30">
        <v>0</v>
      </c>
      <c r="C169" s="11">
        <v>1</v>
      </c>
      <c r="D169" s="7">
        <v>0</v>
      </c>
      <c r="E169" s="8">
        <v>0</v>
      </c>
      <c r="F169" s="41" t="s">
        <v>12</v>
      </c>
      <c r="G169" s="50" t="s">
        <v>20</v>
      </c>
      <c r="H169" s="9" t="s">
        <v>20</v>
      </c>
      <c r="I169" s="10"/>
      <c r="J169" s="51" t="s">
        <v>20</v>
      </c>
    </row>
    <row r="170" spans="1:10" ht="15.75" customHeight="1" x14ac:dyDescent="0.2">
      <c r="A170" s="34">
        <v>45551</v>
      </c>
      <c r="B170" s="30">
        <v>0</v>
      </c>
      <c r="C170" s="11">
        <v>1</v>
      </c>
      <c r="D170" s="7">
        <v>0</v>
      </c>
      <c r="E170" s="8">
        <v>0</v>
      </c>
      <c r="F170" s="41" t="s">
        <v>12</v>
      </c>
      <c r="G170" s="50" t="s">
        <v>20</v>
      </c>
      <c r="H170" s="9" t="s">
        <v>20</v>
      </c>
      <c r="I170" s="10"/>
      <c r="J170" s="51" t="s">
        <v>20</v>
      </c>
    </row>
    <row r="171" spans="1:10" ht="15.75" customHeight="1" x14ac:dyDescent="0.2">
      <c r="A171" s="34">
        <v>45552</v>
      </c>
      <c r="B171" s="30">
        <v>0</v>
      </c>
      <c r="C171" s="7">
        <v>0</v>
      </c>
      <c r="D171" s="7">
        <v>0</v>
      </c>
      <c r="E171" s="8">
        <v>0</v>
      </c>
      <c r="F171" s="38"/>
      <c r="G171" s="50"/>
      <c r="H171" s="9"/>
      <c r="I171" s="10"/>
      <c r="J171" s="52"/>
    </row>
    <row r="172" spans="1:10" ht="15.75" customHeight="1" x14ac:dyDescent="0.2">
      <c r="A172" s="34">
        <v>45553</v>
      </c>
      <c r="B172" s="30">
        <v>0</v>
      </c>
      <c r="C172" s="7">
        <v>0</v>
      </c>
      <c r="D172" s="7">
        <v>0</v>
      </c>
      <c r="E172" s="8">
        <v>0</v>
      </c>
      <c r="F172" s="38"/>
      <c r="G172" s="50"/>
      <c r="H172" s="9"/>
      <c r="I172" s="10"/>
      <c r="J172" s="52"/>
    </row>
    <row r="173" spans="1:10" ht="15.75" customHeight="1" x14ac:dyDescent="0.2">
      <c r="A173" s="34">
        <v>45554</v>
      </c>
      <c r="B173" s="30">
        <v>0</v>
      </c>
      <c r="C173" s="7">
        <v>0</v>
      </c>
      <c r="D173" s="7">
        <v>0</v>
      </c>
      <c r="E173" s="8">
        <v>0</v>
      </c>
      <c r="F173" s="38"/>
      <c r="G173" s="50"/>
      <c r="H173" s="9"/>
      <c r="I173" s="10"/>
      <c r="J173" s="52"/>
    </row>
    <row r="174" spans="1:10" ht="15.75" customHeight="1" x14ac:dyDescent="0.2">
      <c r="A174" s="34">
        <v>45555</v>
      </c>
      <c r="B174" s="30">
        <v>0</v>
      </c>
      <c r="C174" s="7">
        <v>0</v>
      </c>
      <c r="D174" s="7">
        <v>0</v>
      </c>
      <c r="E174" s="8">
        <v>0</v>
      </c>
      <c r="F174" s="38"/>
      <c r="G174" s="50"/>
      <c r="H174" s="9"/>
      <c r="I174" s="10"/>
      <c r="J174" s="52"/>
    </row>
    <row r="175" spans="1:10" ht="15.75" customHeight="1" x14ac:dyDescent="0.2">
      <c r="A175" s="34">
        <v>45556</v>
      </c>
      <c r="B175" s="30">
        <v>0</v>
      </c>
      <c r="C175" s="7">
        <v>0</v>
      </c>
      <c r="D175" s="7">
        <v>0</v>
      </c>
      <c r="E175" s="8">
        <v>0</v>
      </c>
      <c r="F175" s="38"/>
      <c r="G175" s="50"/>
      <c r="H175" s="9"/>
      <c r="I175" s="10"/>
      <c r="J175" s="52"/>
    </row>
    <row r="176" spans="1:10" ht="15.75" customHeight="1" x14ac:dyDescent="0.2">
      <c r="A176" s="34">
        <v>45557</v>
      </c>
      <c r="B176" s="30">
        <v>0</v>
      </c>
      <c r="C176" s="7">
        <v>0</v>
      </c>
      <c r="D176" s="7">
        <v>0</v>
      </c>
      <c r="E176" s="8">
        <v>0</v>
      </c>
      <c r="F176" s="38"/>
      <c r="G176" s="50"/>
      <c r="H176" s="9"/>
      <c r="I176" s="10"/>
      <c r="J176" s="52"/>
    </row>
    <row r="177" spans="1:10" ht="15.75" customHeight="1" x14ac:dyDescent="0.2">
      <c r="A177" s="34">
        <v>45558</v>
      </c>
      <c r="B177" s="30">
        <v>0</v>
      </c>
      <c r="C177" s="7">
        <v>0</v>
      </c>
      <c r="D177" s="11">
        <v>1</v>
      </c>
      <c r="E177" s="8">
        <v>0</v>
      </c>
      <c r="F177" s="40" t="s">
        <v>11</v>
      </c>
      <c r="G177" s="50" t="s">
        <v>20</v>
      </c>
      <c r="H177" s="9"/>
      <c r="I177" s="10"/>
      <c r="J177" s="61" t="s">
        <v>33</v>
      </c>
    </row>
    <row r="178" spans="1:10" ht="15.75" customHeight="1" x14ac:dyDescent="0.2">
      <c r="A178" s="34">
        <v>45559</v>
      </c>
      <c r="B178" s="30">
        <v>0</v>
      </c>
      <c r="C178" s="7">
        <v>0</v>
      </c>
      <c r="D178" s="11">
        <v>1</v>
      </c>
      <c r="E178" s="8">
        <v>0</v>
      </c>
      <c r="F178" s="40" t="s">
        <v>11</v>
      </c>
      <c r="G178" s="50" t="s">
        <v>20</v>
      </c>
      <c r="H178" s="9"/>
      <c r="I178" s="10"/>
      <c r="J178" s="61" t="s">
        <v>33</v>
      </c>
    </row>
    <row r="179" spans="1:10" ht="15.75" customHeight="1" x14ac:dyDescent="0.2">
      <c r="A179" s="34">
        <v>45560</v>
      </c>
      <c r="B179" s="30">
        <v>0</v>
      </c>
      <c r="C179" s="7">
        <v>0</v>
      </c>
      <c r="D179" s="7">
        <v>0</v>
      </c>
      <c r="E179" s="8">
        <v>0</v>
      </c>
      <c r="F179" s="38"/>
      <c r="G179" s="50"/>
      <c r="H179" s="9"/>
      <c r="I179" s="10"/>
      <c r="J179" s="52"/>
    </row>
    <row r="180" spans="1:10" ht="15.75" customHeight="1" x14ac:dyDescent="0.2">
      <c r="A180" s="34">
        <v>45561</v>
      </c>
      <c r="B180" s="30">
        <v>0</v>
      </c>
      <c r="C180" s="7">
        <v>0</v>
      </c>
      <c r="D180" s="7">
        <v>0</v>
      </c>
      <c r="E180" s="8">
        <v>0</v>
      </c>
      <c r="F180" s="38"/>
      <c r="G180" s="50"/>
      <c r="H180" s="9"/>
      <c r="I180" s="10"/>
      <c r="J180" s="52"/>
    </row>
    <row r="181" spans="1:10" ht="15.75" customHeight="1" x14ac:dyDescent="0.2">
      <c r="A181" s="34">
        <v>45562</v>
      </c>
      <c r="B181" s="30">
        <v>0</v>
      </c>
      <c r="C181" s="7">
        <v>0</v>
      </c>
      <c r="D181" s="7">
        <v>0</v>
      </c>
      <c r="E181" s="8">
        <v>0</v>
      </c>
      <c r="F181" s="38"/>
      <c r="G181" s="50"/>
      <c r="H181" s="9"/>
      <c r="I181" s="10"/>
      <c r="J181" s="52"/>
    </row>
    <row r="182" spans="1:10" ht="15.75" customHeight="1" x14ac:dyDescent="0.2">
      <c r="A182" s="34">
        <v>45563</v>
      </c>
      <c r="B182" s="30">
        <v>0</v>
      </c>
      <c r="C182" s="7">
        <v>0</v>
      </c>
      <c r="D182" s="7">
        <v>0</v>
      </c>
      <c r="E182" s="8">
        <v>0</v>
      </c>
      <c r="F182" s="38"/>
      <c r="G182" s="50"/>
      <c r="H182" s="9"/>
      <c r="I182" s="10"/>
      <c r="J182" s="52"/>
    </row>
    <row r="183" spans="1:10" ht="15.75" customHeight="1" x14ac:dyDescent="0.2">
      <c r="A183" s="34">
        <v>45564</v>
      </c>
      <c r="B183" s="30">
        <v>0</v>
      </c>
      <c r="C183" s="7">
        <v>0</v>
      </c>
      <c r="D183" s="7">
        <v>0</v>
      </c>
      <c r="E183" s="8">
        <v>0</v>
      </c>
      <c r="F183" s="38"/>
      <c r="G183" s="50"/>
      <c r="H183" s="9"/>
      <c r="I183" s="10"/>
      <c r="J183" s="52"/>
    </row>
    <row r="184" spans="1:10" ht="15.75" customHeight="1" thickBot="1" x14ac:dyDescent="0.25">
      <c r="A184" s="35">
        <v>45565</v>
      </c>
      <c r="B184" s="31">
        <v>0</v>
      </c>
      <c r="C184" s="20">
        <v>0</v>
      </c>
      <c r="D184" s="20">
        <v>0</v>
      </c>
      <c r="E184" s="21">
        <v>0</v>
      </c>
      <c r="F184" s="44"/>
      <c r="G184" s="56"/>
      <c r="H184" s="57"/>
      <c r="I184" s="58"/>
      <c r="J184" s="59"/>
    </row>
    <row r="185" spans="1:10" ht="15.75" customHeight="1" thickBot="1" x14ac:dyDescent="0.25">
      <c r="A185" s="32" t="s">
        <v>19</v>
      </c>
      <c r="B185" s="22">
        <f t="shared" ref="B185:E185" si="0">SUM(B2:B184)</f>
        <v>17</v>
      </c>
      <c r="C185" s="22">
        <f t="shared" si="0"/>
        <v>17</v>
      </c>
      <c r="D185" s="22">
        <f t="shared" si="0"/>
        <v>17</v>
      </c>
      <c r="E185" s="22">
        <f t="shared" si="0"/>
        <v>15</v>
      </c>
      <c r="F185" s="23">
        <f>SUM(B185:E185)</f>
        <v>66</v>
      </c>
      <c r="G185" s="24"/>
      <c r="H185" s="24"/>
      <c r="I185" s="24"/>
      <c r="J185" s="45">
        <f>COUNTIF(J1:J184,"True")</f>
        <v>41</v>
      </c>
    </row>
  </sheetData>
  <conditionalFormatting sqref="G1:J113 K74:K75 K113 G114:K115 G116:J184">
    <cfRule type="containsText" dxfId="3" priority="3" operator="containsText" text="False">
      <formula>NOT(ISERROR(SEARCH("False",G1)))</formula>
    </cfRule>
    <cfRule type="containsText" dxfId="2" priority="4" stopIfTrue="1" operator="containsText" text="True">
      <formula>NOT(ISERROR(SEARCH("True",G1)))</formula>
    </cfRule>
  </conditionalFormatting>
  <conditionalFormatting sqref="K81:K83">
    <cfRule type="containsText" dxfId="1" priority="1" operator="containsText" text="False">
      <formula>NOT(ISERROR(SEARCH("False",K81)))</formula>
    </cfRule>
    <cfRule type="containsText" dxfId="0" priority="2" stopIfTrue="1" operator="containsText" text="True">
      <formula>NOT(ISERROR(SEARCH("True",K81)))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Elsa Ducrot</cp:lastModifiedBy>
  <dcterms:created xsi:type="dcterms:W3CDTF">2022-01-03T18:52:24Z</dcterms:created>
  <dcterms:modified xsi:type="dcterms:W3CDTF">2024-09-26T21:22:54Z</dcterms:modified>
</cp:coreProperties>
</file>